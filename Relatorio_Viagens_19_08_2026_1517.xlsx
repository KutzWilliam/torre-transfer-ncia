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bruno.silva\Downloads\"/>
    </mc:Choice>
  </mc:AlternateContent>
  <xr:revisionPtr revIDLastSave="28" documentId="8_{EB3A1761-FAE3-4F4E-BD2F-5F28AF7C331C}" xr6:coauthVersionLast="47" xr6:coauthVersionMax="47" xr10:uidLastSave="{B5D0BCB6-84AA-4F7A-A332-135E6F5E4EA9}"/>
  <bookViews>
    <workbookView xWindow="-120" yWindow="-120" windowWidth="29040" windowHeight="15720" firstSheet="1" activeTab="1" xr2:uid="{00000000-000D-0000-FFFF-FFFF00000000}"/>
  </bookViews>
  <sheets>
    <sheet name="Detalhes1" sheetId="3" r:id="rId1"/>
    <sheet name="Planilha1" sheetId="2" r:id="rId2"/>
    <sheet name="Viagens" sheetId="1" r:id="rId3"/>
  </sheets>
  <definedNames>
    <definedName name="_xlnm._FilterDatabase" localSheetId="2" hidden="1">Viagens!$A$1:$P$43</definedName>
  </definedNames>
  <calcPr calcId="191028"/>
  <pivotCaches>
    <pivotCache cacheId="4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</calcChain>
</file>

<file path=xl/sharedStrings.xml><?xml version="1.0" encoding="utf-8"?>
<sst xmlns="http://schemas.openxmlformats.org/spreadsheetml/2006/main" count="863" uniqueCount="366">
  <si>
    <t>Detalhes do    - STATUS 02 SAIDA: Pontual</t>
  </si>
  <si>
    <t>Cód. Viagem</t>
  </si>
  <si>
    <t>Rota</t>
  </si>
  <si>
    <t>Motorista</t>
  </si>
  <si>
    <t>Placa</t>
  </si>
  <si>
    <t>Saída Prevista</t>
  </si>
  <si>
    <t>SEMANA SAIDA</t>
  </si>
  <si>
    <t>Saída Real</t>
  </si>
  <si>
    <t>Atraso Saída (min)</t>
  </si>
  <si>
    <t>Chegada Prevista</t>
  </si>
  <si>
    <t>Chegada Real</t>
  </si>
  <si>
    <t>Atraso Chegada (min)</t>
  </si>
  <si>
    <t>Duração Real</t>
  </si>
  <si>
    <t>Pico Velocidade</t>
  </si>
  <si>
    <t>STATUS 02 SAIDA</t>
  </si>
  <si>
    <t>STATUS 02 CHEGADA</t>
  </si>
  <si>
    <t>Status</t>
  </si>
  <si>
    <t>39072326</t>
  </si>
  <si>
    <t>APUCARANA X GUARAPUAVA X PONTA GROSSA</t>
  </si>
  <si>
    <t>ALISSON GOMES DUARTE</t>
  </si>
  <si>
    <t>AFZ0E71</t>
  </si>
  <si>
    <t>18/08 21:00</t>
  </si>
  <si>
    <t>3ª Semana - agosto</t>
  </si>
  <si>
    <t>18/08 20:33</t>
  </si>
  <si>
    <t>19/08 06:00</t>
  </si>
  <si>
    <t>19/08 10:01</t>
  </si>
  <si>
    <t>13h27min</t>
  </si>
  <si>
    <t>101 km/h</t>
  </si>
  <si>
    <t>Pontual</t>
  </si>
  <si>
    <t>Atraso acima de 1 hora</t>
  </si>
  <si>
    <t>CRITICO</t>
  </si>
  <si>
    <t>39070197</t>
  </si>
  <si>
    <t>BLUMENAU/JOINVILLE/CURITIBA</t>
  </si>
  <si>
    <t>ITAMAR SILVERIO</t>
  </si>
  <si>
    <t>QJO5H02</t>
  </si>
  <si>
    <t>18/08 22:00</t>
  </si>
  <si>
    <t>19/08 02:00</t>
  </si>
  <si>
    <t>19/08 01:07</t>
  </si>
  <si>
    <t>3h07min</t>
  </si>
  <si>
    <t>—</t>
  </si>
  <si>
    <t>PONTUAL</t>
  </si>
  <si>
    <t>39071181</t>
  </si>
  <si>
    <t>CHAPECO X GUARAPUAVA</t>
  </si>
  <si>
    <t>GILMAR HOLM VIEIRA</t>
  </si>
  <si>
    <t>UBZ0C98</t>
  </si>
  <si>
    <t>18/08 19:00</t>
  </si>
  <si>
    <t>18/08 17:30</t>
  </si>
  <si>
    <t>19/08 00:00</t>
  </si>
  <si>
    <t>18/08 23:57</t>
  </si>
  <si>
    <t>6h27min</t>
  </si>
  <si>
    <t>39069450</t>
  </si>
  <si>
    <t>CURITIBA X CASCAVEL</t>
  </si>
  <si>
    <t>MARCIO JOSE DE OLIVEIRA</t>
  </si>
  <si>
    <t>BDO9J81</t>
  </si>
  <si>
    <t>18/08 23:00</t>
  </si>
  <si>
    <t>18/08 22:53</t>
  </si>
  <si>
    <t>19/08 07:00</t>
  </si>
  <si>
    <t>19/08 07:54</t>
  </si>
  <si>
    <t>9h01min</t>
  </si>
  <si>
    <t>95 km/h</t>
  </si>
  <si>
    <t>Atraso até 1 hora</t>
  </si>
  <si>
    <t>ATRASADO</t>
  </si>
  <si>
    <t>39056751</t>
  </si>
  <si>
    <t>CURITIBA X GUARAPUAVA</t>
  </si>
  <si>
    <t>ALEXANDRE JOSE DE OLIVEIRA PINTO</t>
  </si>
  <si>
    <t>FJX5D11</t>
  </si>
  <si>
    <t>18/08 00:30</t>
  </si>
  <si>
    <t>17/08 23:27</t>
  </si>
  <si>
    <t>18/08 04:30</t>
  </si>
  <si>
    <t>18/08 06:57</t>
  </si>
  <si>
    <t>7h30min</t>
  </si>
  <si>
    <t>105 km/h</t>
  </si>
  <si>
    <t>39057719</t>
  </si>
  <si>
    <t>CURITIBA X JOINVILLE</t>
  </si>
  <si>
    <t>CLAUDINES DE ARAUJO MORAIS</t>
  </si>
  <si>
    <t>FVS0C80</t>
  </si>
  <si>
    <t>18/08 02:00</t>
  </si>
  <si>
    <t>18/08 01:03</t>
  </si>
  <si>
    <t>18/08 04:00</t>
  </si>
  <si>
    <t>18/08 19:58</t>
  </si>
  <si>
    <t>18h55min</t>
  </si>
  <si>
    <t>39069674</t>
  </si>
  <si>
    <t>CURITIBA X MEDIANEIRA X FOZ DO IGUAÇU</t>
  </si>
  <si>
    <t>ROGERIO DONIZETE SERAO</t>
  </si>
  <si>
    <t>PLU6I36</t>
  </si>
  <si>
    <t>18/08 22:06</t>
  </si>
  <si>
    <t>19/08 09:30</t>
  </si>
  <si>
    <t>19/08 09:18</t>
  </si>
  <si>
    <t>11h12min</t>
  </si>
  <si>
    <t>98 km/h</t>
  </si>
  <si>
    <t>39058287</t>
  </si>
  <si>
    <t>CURITIBA X PALMEIRA X IRATI X PRUDENTOPOLIS</t>
  </si>
  <si>
    <t>MARCOS LEANDRO DE PAULA</t>
  </si>
  <si>
    <t>MEY1C33</t>
  </si>
  <si>
    <t>18/08 01:00</t>
  </si>
  <si>
    <t>18/08 00:22</t>
  </si>
  <si>
    <t>18/08 05:45</t>
  </si>
  <si>
    <t>18/08 05:04</t>
  </si>
  <si>
    <t>4h41min</t>
  </si>
  <si>
    <t>102 km/h</t>
  </si>
  <si>
    <t>39059969</t>
  </si>
  <si>
    <t>CURITIBA X SÃO MATEUS DO SUL X UNIÃO DA VITÓRIA</t>
  </si>
  <si>
    <t>WESLEY THIAGO DOS SANTOS</t>
  </si>
  <si>
    <t>NZW4D41</t>
  </si>
  <si>
    <t>18/08 03:00</t>
  </si>
  <si>
    <t>18/08 02:33</t>
  </si>
  <si>
    <t>18/08 08:00</t>
  </si>
  <si>
    <t>18/08 07:04</t>
  </si>
  <si>
    <t>4h30min</t>
  </si>
  <si>
    <t>97 km/h</t>
  </si>
  <si>
    <t>39056389</t>
  </si>
  <si>
    <t>CURITIBA/BLUMENAU</t>
  </si>
  <si>
    <t>18/08 06:23</t>
  </si>
  <si>
    <t>18/08 13:00</t>
  </si>
  <si>
    <t>18/08 09:20</t>
  </si>
  <si>
    <t>2h57min</t>
  </si>
  <si>
    <t>39068554</t>
  </si>
  <si>
    <t>FOZ DO IGUAÇU X CASCAVEL X CURITIBA</t>
  </si>
  <si>
    <t>GELSON APARECIDO BONIFACIO</t>
  </si>
  <si>
    <t>RTX6A41</t>
  </si>
  <si>
    <t>18/08 18:42</t>
  </si>
  <si>
    <t>19/08 07:36</t>
  </si>
  <si>
    <t>12h55min</t>
  </si>
  <si>
    <t>108 km/h</t>
  </si>
  <si>
    <t>39066815</t>
  </si>
  <si>
    <t>FRANCISCO BELTRAO X GUARAPUAVA X CURITIBA</t>
  </si>
  <si>
    <t>ROQUE AUGUSTO DA SILVA</t>
  </si>
  <si>
    <t>AJI3D22</t>
  </si>
  <si>
    <t>18/08 18:21</t>
  </si>
  <si>
    <t>19/08 06:55</t>
  </si>
  <si>
    <t>12h34min</t>
  </si>
  <si>
    <t>39069363</t>
  </si>
  <si>
    <t>GUARAPUAVA X PONTA GROSSA X SAO PAULO</t>
  </si>
  <si>
    <t>ANTONIO MACHADO BELTRAO</t>
  </si>
  <si>
    <t>AXW6774</t>
  </si>
  <si>
    <t>18/08 15:30</t>
  </si>
  <si>
    <t>18/08 13:47</t>
  </si>
  <si>
    <t>19/08 04:00</t>
  </si>
  <si>
    <t>19/08 03:17</t>
  </si>
  <si>
    <t>13h30min</t>
  </si>
  <si>
    <t>39064166</t>
  </si>
  <si>
    <t>JOINVILLE X CURITIBA</t>
  </si>
  <si>
    <t>GERSON BARCELLOS AGRA</t>
  </si>
  <si>
    <t>DPE5614</t>
  </si>
  <si>
    <t>18/08 07:34</t>
  </si>
  <si>
    <t>6h31min</t>
  </si>
  <si>
    <t>104 km/h</t>
  </si>
  <si>
    <t>39071302</t>
  </si>
  <si>
    <t>LONDRINA X GUARAPUAVA</t>
  </si>
  <si>
    <t>ALEXANDRO DE LIMA</t>
  </si>
  <si>
    <t>AVR5C96</t>
  </si>
  <si>
    <t>18/08 22:26</t>
  </si>
  <si>
    <t>19/08 09:00</t>
  </si>
  <si>
    <t>19/08 03:11</t>
  </si>
  <si>
    <t>4h45min</t>
  </si>
  <si>
    <t>110 km/h</t>
  </si>
  <si>
    <t>39071185</t>
  </si>
  <si>
    <t>LONDRINA X MARINGA X CASCAVEL</t>
  </si>
  <si>
    <t>RUBENS ALVES DE SOUZA</t>
  </si>
  <si>
    <t>HRZ8A38</t>
  </si>
  <si>
    <t>18/08 22:30</t>
  </si>
  <si>
    <t>18/08 22:29</t>
  </si>
  <si>
    <t>19/08 05:00</t>
  </si>
  <si>
    <t>19/08 05:12</t>
  </si>
  <si>
    <t>6h43min</t>
  </si>
  <si>
    <t>Atraso até 30 min</t>
  </si>
  <si>
    <t>ATENCAO</t>
  </si>
  <si>
    <t>39070939</t>
  </si>
  <si>
    <t>MARINGA X CURITIBA</t>
  </si>
  <si>
    <t>ENEIAS MARTINS</t>
  </si>
  <si>
    <t>IQV8B95</t>
  </si>
  <si>
    <t>18/08 21:34</t>
  </si>
  <si>
    <t>19/08 05:30</t>
  </si>
  <si>
    <t>19/08 04:04</t>
  </si>
  <si>
    <t>6h30min</t>
  </si>
  <si>
    <t>90 km/h</t>
  </si>
  <si>
    <t>39070509</t>
  </si>
  <si>
    <t>maringa x guarapuava x ponta grossa , rota alternativa</t>
  </si>
  <si>
    <t>MARCIO DE OLIVEIRA</t>
  </si>
  <si>
    <t>AYA7F47</t>
  </si>
  <si>
    <t>18/08 21:40</t>
  </si>
  <si>
    <t>19/08 10:00</t>
  </si>
  <si>
    <t>19/08 06:26</t>
  </si>
  <si>
    <t>8h46min</t>
  </si>
  <si>
    <t>39070978</t>
  </si>
  <si>
    <t>ponta grossa x guarapuava x maringa ,alternativa</t>
  </si>
  <si>
    <t>DIEGO HOFMAN DOS REIS</t>
  </si>
  <si>
    <t>AAF6D80</t>
  </si>
  <si>
    <t>18/08 20:26</t>
  </si>
  <si>
    <t>19/08 10:10</t>
  </si>
  <si>
    <t>19/08 05:34</t>
  </si>
  <si>
    <t>9h08min</t>
  </si>
  <si>
    <t>113 km/h</t>
  </si>
  <si>
    <t>39069317</t>
  </si>
  <si>
    <t>SAO PAULO X PONTA GROSSA X GUARAPUAVA</t>
  </si>
  <si>
    <t>ISRAEL PELINSKI</t>
  </si>
  <si>
    <t>AXW6H75</t>
  </si>
  <si>
    <t>18/08 21:42</t>
  </si>
  <si>
    <t>19/08 14:01</t>
  </si>
  <si>
    <t>16h19min</t>
  </si>
  <si>
    <t>39069356</t>
  </si>
  <si>
    <t>SAO PAULO x REGISTRO x CURITIBA</t>
  </si>
  <si>
    <t>PAULO SERGIO PADILHA</t>
  </si>
  <si>
    <t>BEF3G75</t>
  </si>
  <si>
    <t>18/08 21:48</t>
  </si>
  <si>
    <t>19/08 04:28</t>
  </si>
  <si>
    <t>6h40min</t>
  </si>
  <si>
    <t>39068671</t>
  </si>
  <si>
    <t>TOLEDO X CASCAVEL X GUARAPUAVA X PONTA GROSSA X CURITIBA</t>
  </si>
  <si>
    <t>MARCIO JOSE MARTINS BUENO</t>
  </si>
  <si>
    <t>AXQ3C38</t>
  </si>
  <si>
    <t>18/08 20:00</t>
  </si>
  <si>
    <t>18/08 19:41</t>
  </si>
  <si>
    <t>19/08 12:00</t>
  </si>
  <si>
    <t>19/08 13:43</t>
  </si>
  <si>
    <t>18h02min</t>
  </si>
  <si>
    <t>96 km/h</t>
  </si>
  <si>
    <t>39069473</t>
  </si>
  <si>
    <t>UMUARAMA X CURITIBA 22.07.2026 OBRAS NA PISTA</t>
  </si>
  <si>
    <t>CLEITON PEREIRA</t>
  </si>
  <si>
    <t>BDV6I14</t>
  </si>
  <si>
    <t>18/08 19:22</t>
  </si>
  <si>
    <t>19/08 14:37</t>
  </si>
  <si>
    <t>19h15min</t>
  </si>
  <si>
    <t>120 km/h</t>
  </si>
  <si>
    <t>39070258</t>
  </si>
  <si>
    <t>UNIAO DA VITORIA X CURITIBA</t>
  </si>
  <si>
    <t>18/08 19:13</t>
  </si>
  <si>
    <t>18/08 23:59</t>
  </si>
  <si>
    <t>18/08 23:18</t>
  </si>
  <si>
    <t>4h05min</t>
  </si>
  <si>
    <t>39070441</t>
  </si>
  <si>
    <t>WURTH DO BRASIL - COTIA-SP X CURITIBA-PR</t>
  </si>
  <si>
    <t>WILLIAM CARLOS FERREIRA</t>
  </si>
  <si>
    <t>OYM6C71</t>
  </si>
  <si>
    <t>18/08 16:08</t>
  </si>
  <si>
    <t>19/08 00:17</t>
  </si>
  <si>
    <t>8h09min</t>
  </si>
  <si>
    <t xml:space="preserve">  </t>
  </si>
  <si>
    <t>status saida</t>
  </si>
  <si>
    <t>status chegada</t>
  </si>
  <si>
    <t>SEMANA + ROTA</t>
  </si>
  <si>
    <t>Total Geral</t>
  </si>
  <si>
    <t>39069646</t>
  </si>
  <si>
    <t>CURITIBA X APUCARANA X LONDRINA</t>
  </si>
  <si>
    <t>LUIS FERNANDO ROSA</t>
  </si>
  <si>
    <t>AJI0C16</t>
  </si>
  <si>
    <t>19/08 00:27</t>
  </si>
  <si>
    <t>19/08 15:09</t>
  </si>
  <si>
    <t>14h42min</t>
  </si>
  <si>
    <t>39069793</t>
  </si>
  <si>
    <t>CURITIBA X MARINGA</t>
  </si>
  <si>
    <t>ANGELO OMERO BULIGON</t>
  </si>
  <si>
    <t>BDV9F76</t>
  </si>
  <si>
    <t>19/08 00:06</t>
  </si>
  <si>
    <t>19/08 06:30</t>
  </si>
  <si>
    <t>18/08 22:45</t>
  </si>
  <si>
    <t>-2h-21min</t>
  </si>
  <si>
    <t>39069717</t>
  </si>
  <si>
    <t>CURITIBA X LONDRINA</t>
  </si>
  <si>
    <t>ANDRE HENRIQUE ANDRADE DE OLIVEIRA</t>
  </si>
  <si>
    <t>GCV3B75</t>
  </si>
  <si>
    <t>18/08 23:16</t>
  </si>
  <si>
    <t>19/08 04:30</t>
  </si>
  <si>
    <t>19/08 05:53</t>
  </si>
  <si>
    <t>6h37min</t>
  </si>
  <si>
    <t>39069943</t>
  </si>
  <si>
    <t>MANOEL PEDRO BORGES</t>
  </si>
  <si>
    <t>AWH8E15</t>
  </si>
  <si>
    <t>19/08 06:58</t>
  </si>
  <si>
    <t>7h42min</t>
  </si>
  <si>
    <t>92 km/h</t>
  </si>
  <si>
    <t>39066229</t>
  </si>
  <si>
    <t>CASCAVEL X MARINGA X LONDRINA</t>
  </si>
  <si>
    <t>JULIO CESAR PRUZAK CARDOSO</t>
  </si>
  <si>
    <t>AOA7I42</t>
  </si>
  <si>
    <t>18/08 23:24</t>
  </si>
  <si>
    <t>19/08 05:37</t>
  </si>
  <si>
    <t>6h13min</t>
  </si>
  <si>
    <t>114 km/h</t>
  </si>
  <si>
    <t>39068396</t>
  </si>
  <si>
    <t>CASCAVEL X GUARAPUAVA X CURITIBA</t>
  </si>
  <si>
    <t>VINICIUS BEZERRA DOS SANTOS</t>
  </si>
  <si>
    <t>AXH5058</t>
  </si>
  <si>
    <t>18/08 23:14</t>
  </si>
  <si>
    <t>19/08 09:36</t>
  </si>
  <si>
    <t>10h22min</t>
  </si>
  <si>
    <t>39075461</t>
  </si>
  <si>
    <t>LONDRINA X CURITIBA</t>
  </si>
  <si>
    <t>ANTONIO CARLOS CARNEIRO SOUSA</t>
  </si>
  <si>
    <t>GCV0B29</t>
  </si>
  <si>
    <t>18/08 22:47</t>
  </si>
  <si>
    <t>19/08 08:26</t>
  </si>
  <si>
    <t>9h39min</t>
  </si>
  <si>
    <t>39069765</t>
  </si>
  <si>
    <t>CURITIBA X SAO PAULO</t>
  </si>
  <si>
    <t>ALVARO FERNANDO ANTUNES DE OLIVEIRA</t>
  </si>
  <si>
    <t>AZT3J47</t>
  </si>
  <si>
    <t>18/08 22:23</t>
  </si>
  <si>
    <t>19/08 03:45</t>
  </si>
  <si>
    <t>5h22min</t>
  </si>
  <si>
    <t>116 km/h</t>
  </si>
  <si>
    <t>39068535</t>
  </si>
  <si>
    <t>MAXUEL APARECIDO DE MORAIS</t>
  </si>
  <si>
    <t>EEA7J90</t>
  </si>
  <si>
    <t>18/08 22:28</t>
  </si>
  <si>
    <t>19/08 04:45</t>
  </si>
  <si>
    <t>6h16min</t>
  </si>
  <si>
    <t>106 km/h</t>
  </si>
  <si>
    <t>39074808</t>
  </si>
  <si>
    <t>18/08 22:08</t>
  </si>
  <si>
    <t>19/08 00:41</t>
  </si>
  <si>
    <t>2h33min</t>
  </si>
  <si>
    <t>99 km/h</t>
  </si>
  <si>
    <t>39065609</t>
  </si>
  <si>
    <t>CASCAVEL X MEDIANEIRA X FOZ DO IGUAÇU</t>
  </si>
  <si>
    <t>VALMIR DE OLIVEIRA</t>
  </si>
  <si>
    <t>BAR7I87</t>
  </si>
  <si>
    <t>18/08 06:30</t>
  </si>
  <si>
    <t>18/08 07:43</t>
  </si>
  <si>
    <t>18/08 09:30</t>
  </si>
  <si>
    <t>18/08 10:12</t>
  </si>
  <si>
    <t>2h29min</t>
  </si>
  <si>
    <t>94 km/h</t>
  </si>
  <si>
    <t>39056738</t>
  </si>
  <si>
    <t>CURITIBA X PONTA GROSSA X TELEMACO BORBA</t>
  </si>
  <si>
    <t>JOSE DONISETE ARANTES</t>
  </si>
  <si>
    <t>APR6C41</t>
  </si>
  <si>
    <t>18/08 03:27</t>
  </si>
  <si>
    <t>18/08 08:30</t>
  </si>
  <si>
    <t>18/08 09:44</t>
  </si>
  <si>
    <t>6h17min</t>
  </si>
  <si>
    <t>39072079</t>
  </si>
  <si>
    <t>18/08 17:59</t>
  </si>
  <si>
    <t>18/08 20:25</t>
  </si>
  <si>
    <t>2h26min</t>
  </si>
  <si>
    <t>39064089</t>
  </si>
  <si>
    <t>GUARAPUAVA X LONDRINA X APUCARANA</t>
  </si>
  <si>
    <t>18/08 01:11</t>
  </si>
  <si>
    <t>18/08 07:30</t>
  </si>
  <si>
    <t>18/08 08:36</t>
  </si>
  <si>
    <t>7h24min</t>
  </si>
  <si>
    <t>39064062</t>
  </si>
  <si>
    <t>GUARAPUAVA X CASCAVE-PR EPC</t>
  </si>
  <si>
    <t>SERGIO GONCALVES DA ROSA</t>
  </si>
  <si>
    <t>COR7B99</t>
  </si>
  <si>
    <t>18/08 01:09</t>
  </si>
  <si>
    <t>18/08 15:53</t>
  </si>
  <si>
    <t>14h44min</t>
  </si>
  <si>
    <t>39069460</t>
  </si>
  <si>
    <t>CURITIBA X CASCAVEL X TOLEDO</t>
  </si>
  <si>
    <t>VALDECIR GONCALVES PEREIRA</t>
  </si>
  <si>
    <t>ASC2C15</t>
  </si>
  <si>
    <t>18/08 00:00</t>
  </si>
  <si>
    <t>18/08 23:04</t>
  </si>
  <si>
    <t>18/08 09:45</t>
  </si>
  <si>
    <t>19/08 09:56</t>
  </si>
  <si>
    <t>10h53min</t>
  </si>
  <si>
    <t>39069519</t>
  </si>
  <si>
    <t>CURITIBA/FRANCISCO BELTRÃO</t>
  </si>
  <si>
    <t>AGUINALDO MARTINS BUENO</t>
  </si>
  <si>
    <t>APD2D61</t>
  </si>
  <si>
    <t>18/08 23:58</t>
  </si>
  <si>
    <t>18/08 07:00</t>
  </si>
  <si>
    <t>19/08 09:08</t>
  </si>
  <si>
    <t>9h11min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</si>
</sst>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0" fillId="7" borderId="1" xfId="0" applyFill="1" applyBorder="1"/>
    <xf numFmtId="0" fontId="0" fillId="6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5" fillId="0" borderId="0" xfId="0" applyFont="1"/>
    <xf numFmtId="0" fontId="3" fillId="5" borderId="1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0" fontId="1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13"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</dxf>
    <dxf>
      <font>
        <color auto="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theme="0"/>
      </font>
    </dxf>
    <dxf>
      <font>
        <color theme="0"/>
      </font>
    </dxf>
    <dxf>
      <alignment horizontal="center"/>
    </dxf>
    <dxf>
      <fill>
        <patternFill patternType="solid">
          <bgColor rgb="FF00B05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</dxf>
    <dxf>
      <font>
        <color auto="1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Oliveira da Silva" refreshedDate="46253.647694560183" createdVersion="8" refreshedVersion="8" minRefreshableVersion="3" recordCount="42" xr:uid="{7732AACE-AB21-476F-9DF0-559C5F13E453}">
  <cacheSource type="worksheet">
    <worksheetSource ref="A1:P43" sheet="Viagens"/>
  </cacheSource>
  <cacheFields count="16">
    <cacheField name="Cód. Viagem" numFmtId="0">
      <sharedItems/>
    </cacheField>
    <cacheField name="Rota" numFmtId="0">
      <sharedItems count="38">
        <s v="CURITIBA X APUCARANA X LONDRINA"/>
        <s v="CURITIBA X MARINGA"/>
        <s v="LONDRINA X GUARAPUAVA"/>
        <s v="CURITIBA X LONDRINA"/>
        <s v="CASCAVEL X MARINGA X LONDRINA"/>
        <s v="CURITIBA X CASCAVEL"/>
        <s v="maringa x guarapuava x ponta grossa , rota alternativa"/>
        <s v="CURITIBA X MEDIANEIRA X FOZ DO IGUAÇU"/>
        <s v="CASCAVEL X GUARAPUAVA X CURITIBA"/>
        <s v="LONDRINA X CURITIBA"/>
        <s v="LONDRINA X MARINGA X CASCAVEL"/>
        <s v="CURITIBA X SAO PAULO"/>
        <s v="MARINGA X CURITIBA"/>
        <s v="BLUMENAU/JOINVILLE/CURITIBA"/>
        <s v="SAO PAULO X PONTA GROSSA X GUARAPUAVA"/>
        <s v="JOINVILLE X CURITIBA"/>
        <s v="SAO PAULO x REGISTRO x CURITIBA"/>
        <s v="ponta grossa x guarapuava x maringa ,alternativa"/>
        <s v="APUCARANA X GUARAPUAVA X PONTA GROSSA"/>
        <s v="UNIAO DA VITORIA X CURITIBA"/>
        <s v="UMUARAMA X CURITIBA 22.07.2026 OBRAS NA PISTA"/>
        <s v="WURTH DO BRASIL - COTIA-SP X CURITIBA-PR"/>
        <s v="TOLEDO X CASCAVEL X GUARAPUAVA X PONTA GROSSA X CURITIBA"/>
        <s v="CHAPECO X GUARAPUAVA"/>
        <s v="FRANCISCO BELTRAO X GUARAPUAVA X CURITIBA"/>
        <s v="FOZ DO IGUAÇU X CASCAVEL X CURITIBA"/>
        <s v="GUARAPUAVA X PONTA GROSSA X SAO PAULO"/>
        <s v="CURITIBA/BLUMENAU"/>
        <s v="CASCAVEL X MEDIANEIRA X FOZ DO IGUAÇU"/>
        <s v="CURITIBA X SÃO MATEUS DO SUL X UNIÃO DA VITÓRIA"/>
        <s v="CURITIBA X PONTA GROSSA X TELEMACO BORBA"/>
        <s v="CURITIBA X JOINVILLE"/>
        <s v="CURITIBA X PALMEIRA X IRATI X PRUDENTOPOLIS"/>
        <s v="GUARAPUAVA X LONDRINA X APUCARANA"/>
        <s v="GUARAPUAVA X CASCAVE-PR EPC"/>
        <s v="CURITIBA X GUARAPUAVA"/>
        <s v="CURITIBA X CASCAVEL X TOLEDO"/>
        <s v="CURITIBA/FRANCISCO BELTRÃO"/>
      </sharedItems>
    </cacheField>
    <cacheField name="Motorista" numFmtId="0">
      <sharedItems/>
    </cacheField>
    <cacheField name="Placa" numFmtId="0">
      <sharedItems/>
    </cacheField>
    <cacheField name="Saída Prevista" numFmtId="14">
      <sharedItems containsDate="1" containsMixedTypes="1" minDate="2026-08-18T23:59:00" maxDate="2026-08-18T23:59:00"/>
    </cacheField>
    <cacheField name="SEMANA SAIDA" numFmtId="14">
      <sharedItems count="1">
        <s v="3ª Semana - agosto"/>
      </sharedItems>
    </cacheField>
    <cacheField name="Saída Real" numFmtId="0">
      <sharedItems/>
    </cacheField>
    <cacheField name="Atraso Saída (min)" numFmtId="0">
      <sharedItems containsSemiMixedTypes="0" containsString="0" containsNumber="1" containsInteger="1" minValue="-1256" maxValue="1438"/>
    </cacheField>
    <cacheField name="Chegada Prevista" numFmtId="0">
      <sharedItems/>
    </cacheField>
    <cacheField name="Chegada Real" numFmtId="0">
      <sharedItems/>
    </cacheField>
    <cacheField name="Atraso Chegada (min)" numFmtId="0">
      <sharedItems containsSemiMixedTypes="0" containsString="0" containsNumber="1" containsInteger="1" minValue="-985" maxValue="1569"/>
    </cacheField>
    <cacheField name="Duração Real" numFmtId="0">
      <sharedItems/>
    </cacheField>
    <cacheField name="Pico Velocidade" numFmtId="0">
      <sharedItems/>
    </cacheField>
    <cacheField name="STATUS 02 SAIDA" numFmtId="0">
      <sharedItems count="3">
        <s v="Atraso até 30 min"/>
        <s v="Atraso acima de 1 hora"/>
        <s v="Pontual"/>
      </sharedItems>
    </cacheField>
    <cacheField name="STATUS 02 CHEGADA" numFmtId="0">
      <sharedItems count="4">
        <s v="Atraso acima de 1 hora"/>
        <s v="Pontual"/>
        <s v="Atraso até 30 min"/>
        <s v="Atraso até 1 hora"/>
      </sharedItems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39069646"/>
    <x v="0"/>
    <s v="LUIS FERNANDO ROSA"/>
    <s v="AJI0C16"/>
    <d v="2026-08-18T23:59:00"/>
    <x v="0"/>
    <s v="19/08 00:27"/>
    <n v="29"/>
    <s v="19/08 09:00"/>
    <s v="19/08 15:09"/>
    <n v="370"/>
    <s v="14h42min"/>
    <s v="113 km/h"/>
    <x v="0"/>
    <x v="0"/>
    <s v="CRITICO"/>
  </r>
  <r>
    <s v="39069793"/>
    <x v="1"/>
    <s v="ANGELO OMERO BULIGON"/>
    <s v="BDV9F76"/>
    <s v="18/08 23:00"/>
    <x v="0"/>
    <s v="19/08 00:06"/>
    <n v="66"/>
    <s v="19/08 06:30"/>
    <s v="18/08 22:45"/>
    <n v="-464"/>
    <s v="-2h-21min"/>
    <s v="—"/>
    <x v="1"/>
    <x v="1"/>
    <s v="PONTUAL"/>
  </r>
  <r>
    <s v="39071302"/>
    <x v="2"/>
    <s v="ALEXANDRO DE LIMA"/>
    <s v="AVR5C96"/>
    <s v="18/08 23:00"/>
    <x v="0"/>
    <s v="18/08 22:26"/>
    <n v="-34"/>
    <s v="19/08 09:00"/>
    <s v="19/08 03:11"/>
    <n v="-348"/>
    <s v="4h45min"/>
    <s v="110 km/h"/>
    <x v="2"/>
    <x v="1"/>
    <s v="PONTUAL"/>
  </r>
  <r>
    <s v="39069717"/>
    <x v="3"/>
    <s v="ANDRE HENRIQUE ANDRADE DE OLIVEIRA"/>
    <s v="GCV3B75"/>
    <s v="18/08 23:00"/>
    <x v="0"/>
    <s v="18/08 23:16"/>
    <n v="17"/>
    <s v="19/08 04:30"/>
    <s v="19/08 05:53"/>
    <n v="84"/>
    <s v="6h37min"/>
    <s v="—"/>
    <x v="0"/>
    <x v="0"/>
    <s v="CRITICO"/>
  </r>
  <r>
    <s v="39069943"/>
    <x v="1"/>
    <s v="MANOEL PEDRO BORGES"/>
    <s v="AWH8E15"/>
    <s v="18/08 23:00"/>
    <x v="0"/>
    <s v="18/08 23:16"/>
    <n v="17"/>
    <s v="19/08 06:30"/>
    <s v="19/08 06:58"/>
    <n v="29"/>
    <s v="7h42min"/>
    <s v="92 km/h"/>
    <x v="0"/>
    <x v="2"/>
    <s v="ATENCAO"/>
  </r>
  <r>
    <s v="39066229"/>
    <x v="4"/>
    <s v="JULIO CESAR PRUZAK CARDOSO"/>
    <s v="AOA7I42"/>
    <s v="18/08 23:00"/>
    <x v="0"/>
    <s v="18/08 23:24"/>
    <n v="25"/>
    <s v="19/08 05:30"/>
    <s v="19/08 05:37"/>
    <n v="7"/>
    <s v="6h13min"/>
    <s v="114 km/h"/>
    <x v="0"/>
    <x v="2"/>
    <s v="PONTUAL"/>
  </r>
  <r>
    <s v="39069450"/>
    <x v="5"/>
    <s v="MARCIO JOSE DE OLIVEIRA"/>
    <s v="BDO9J81"/>
    <s v="18/08 23:00"/>
    <x v="0"/>
    <s v="18/08 22:53"/>
    <n v="-6"/>
    <s v="19/08 07:00"/>
    <s v="19/08 07:54"/>
    <n v="54"/>
    <s v="9h01min"/>
    <s v="95 km/h"/>
    <x v="2"/>
    <x v="3"/>
    <s v="ATRASADO"/>
  </r>
  <r>
    <s v="39070509"/>
    <x v="6"/>
    <s v="MARCIO DE OLIVEIRA"/>
    <s v="AYA7F47"/>
    <s v="18/08 23:00"/>
    <x v="0"/>
    <s v="18/08 21:40"/>
    <n v="-80"/>
    <s v="19/08 10:00"/>
    <s v="19/08 06:26"/>
    <n v="-214"/>
    <s v="8h46min"/>
    <s v="102 km/h"/>
    <x v="2"/>
    <x v="1"/>
    <s v="PONTUAL"/>
  </r>
  <r>
    <s v="39069674"/>
    <x v="7"/>
    <s v="ROGERIO DONIZETE SERAO"/>
    <s v="PLU6I36"/>
    <s v="18/08 23:00"/>
    <x v="0"/>
    <s v="18/08 22:06"/>
    <n v="-53"/>
    <s v="19/08 09:30"/>
    <s v="19/08 09:18"/>
    <n v="-12"/>
    <s v="11h12min"/>
    <s v="98 km/h"/>
    <x v="2"/>
    <x v="1"/>
    <s v="PONTUAL"/>
  </r>
  <r>
    <s v="39068396"/>
    <x v="8"/>
    <s v="VINICIUS BEZERRA DOS SANTOS"/>
    <s v="AXH5058"/>
    <s v="18/08 23:00"/>
    <x v="0"/>
    <s v="18/08 23:14"/>
    <n v="14"/>
    <s v="19/08 12:00"/>
    <s v="19/08 09:36"/>
    <n v="-143"/>
    <s v="10h22min"/>
    <s v="96 km/h"/>
    <x v="0"/>
    <x v="1"/>
    <s v="PONTUAL"/>
  </r>
  <r>
    <s v="39075461"/>
    <x v="9"/>
    <s v="ANTONIO CARLOS CARNEIRO SOUSA"/>
    <s v="GCV0B29"/>
    <s v="18/08 22:30"/>
    <x v="0"/>
    <s v="18/08 22:47"/>
    <n v="17"/>
    <s v="19/08 04:30"/>
    <s v="19/08 08:26"/>
    <n v="236"/>
    <s v="9h39min"/>
    <s v="—"/>
    <x v="0"/>
    <x v="0"/>
    <s v="CRITICO"/>
  </r>
  <r>
    <s v="39071185"/>
    <x v="10"/>
    <s v="RUBENS ALVES DE SOUZA"/>
    <s v="HRZ8A38"/>
    <s v="18/08 22:30"/>
    <x v="0"/>
    <s v="18/08 22:29"/>
    <n v="-1"/>
    <s v="19/08 05:00"/>
    <s v="19/08 05:12"/>
    <n v="12"/>
    <s v="6h43min"/>
    <s v="108 km/h"/>
    <x v="2"/>
    <x v="2"/>
    <s v="ATENCAO"/>
  </r>
  <r>
    <s v="39069765"/>
    <x v="11"/>
    <s v="ALVARO FERNANDO ANTUNES DE OLIVEIRA"/>
    <s v="AZT3J47"/>
    <s v="18/08 22:00"/>
    <x v="0"/>
    <s v="18/08 22:23"/>
    <n v="24"/>
    <s v="19/08 05:00"/>
    <s v="19/08 03:45"/>
    <n v="-74"/>
    <s v="5h22min"/>
    <s v="116 km/h"/>
    <x v="0"/>
    <x v="1"/>
    <s v="PONTUAL"/>
  </r>
  <r>
    <s v="39070939"/>
    <x v="12"/>
    <s v="ENEIAS MARTINS"/>
    <s v="IQV8B95"/>
    <s v="18/08 22:00"/>
    <x v="0"/>
    <s v="18/08 21:34"/>
    <n v="-26"/>
    <s v="19/08 05:30"/>
    <s v="19/08 04:04"/>
    <n v="-86"/>
    <s v="6h30min"/>
    <s v="90 km/h"/>
    <x v="2"/>
    <x v="1"/>
    <s v="PONTUAL"/>
  </r>
  <r>
    <s v="39068535"/>
    <x v="11"/>
    <s v="MAXUEL APARECIDO DE MORAIS"/>
    <s v="EEA7J90"/>
    <s v="18/08 22:00"/>
    <x v="0"/>
    <s v="18/08 22:28"/>
    <n v="29"/>
    <s v="19/08 05:00"/>
    <s v="19/08 04:45"/>
    <n v="-15"/>
    <s v="6h16min"/>
    <s v="106 km/h"/>
    <x v="0"/>
    <x v="1"/>
    <s v="PONTUAL"/>
  </r>
  <r>
    <s v="39070197"/>
    <x v="13"/>
    <s v="ITAMAR SILVERIO"/>
    <s v="QJO5H02"/>
    <s v="18/08 22:00"/>
    <x v="0"/>
    <s v="18/08 22:00"/>
    <n v="1"/>
    <s v="19/08 02:00"/>
    <s v="19/08 01:07"/>
    <n v="-52"/>
    <s v="3h07min"/>
    <s v="—"/>
    <x v="2"/>
    <x v="1"/>
    <s v="PONTUAL"/>
  </r>
  <r>
    <s v="39069317"/>
    <x v="14"/>
    <s v="ISRAEL PELINSKI"/>
    <s v="AXW6H75"/>
    <s v="18/08 22:00"/>
    <x v="0"/>
    <s v="18/08 21:42"/>
    <n v="-18"/>
    <s v="19/08 09:30"/>
    <s v="19/08 14:01"/>
    <n v="271"/>
    <s v="16h19min"/>
    <s v="113 km/h"/>
    <x v="2"/>
    <x v="0"/>
    <s v="CRITICO"/>
  </r>
  <r>
    <s v="39074808"/>
    <x v="15"/>
    <s v="CLAUDINES DE ARAUJO MORAIS"/>
    <s v="FVS0C80"/>
    <s v="18/08 22:00"/>
    <x v="0"/>
    <s v="18/08 22:08"/>
    <n v="8"/>
    <s v="19/08 00:00"/>
    <s v="19/08 00:41"/>
    <n v="41"/>
    <s v="2h33min"/>
    <s v="99 km/h"/>
    <x v="0"/>
    <x v="3"/>
    <s v="ATRASADO"/>
  </r>
  <r>
    <s v="39069356"/>
    <x v="16"/>
    <s v="PAULO SERGIO PADILHA"/>
    <s v="BEF3G75"/>
    <s v="18/08 22:00"/>
    <x v="0"/>
    <s v="18/08 21:48"/>
    <n v="-12"/>
    <s v="19/08 06:00"/>
    <s v="19/08 04:28"/>
    <n v="-92"/>
    <s v="6h40min"/>
    <s v="108 km/h"/>
    <x v="2"/>
    <x v="1"/>
    <s v="PONTUAL"/>
  </r>
  <r>
    <s v="39064166"/>
    <x v="15"/>
    <s v="GERSON BARCELLOS AGRA"/>
    <s v="DPE5614"/>
    <s v="18/08 22:00"/>
    <x v="0"/>
    <s v="18/08 01:03"/>
    <n v="-1256"/>
    <s v="19/08 00:00"/>
    <s v="18/08 07:34"/>
    <n v="-985"/>
    <s v="6h31min"/>
    <s v="104 km/h"/>
    <x v="2"/>
    <x v="1"/>
    <s v="PONTUAL"/>
  </r>
  <r>
    <s v="39070978"/>
    <x v="17"/>
    <s v="DIEGO HOFMAN DOS REIS"/>
    <s v="AAF6D80"/>
    <s v="18/08 21:00"/>
    <x v="0"/>
    <s v="18/08 20:26"/>
    <n v="-33"/>
    <s v="19/08 10:10"/>
    <s v="19/08 05:34"/>
    <n v="-275"/>
    <s v="9h08min"/>
    <s v="113 km/h"/>
    <x v="2"/>
    <x v="1"/>
    <s v="PONTUAL"/>
  </r>
  <r>
    <s v="39072326"/>
    <x v="18"/>
    <s v="ALISSON GOMES DUARTE"/>
    <s v="AFZ0E71"/>
    <s v="18/08 21:00"/>
    <x v="0"/>
    <s v="18/08 20:33"/>
    <n v="-26"/>
    <s v="19/08 06:00"/>
    <s v="19/08 10:01"/>
    <n v="241"/>
    <s v="13h27min"/>
    <s v="101 km/h"/>
    <x v="2"/>
    <x v="0"/>
    <s v="CRITICO"/>
  </r>
  <r>
    <s v="39070258"/>
    <x v="19"/>
    <s v="WESLEY THIAGO DOS SANTOS"/>
    <s v="NZW4D41"/>
    <s v="18/08 21:00"/>
    <x v="0"/>
    <s v="18/08 19:13"/>
    <n v="-106"/>
    <s v="18/08 23:59"/>
    <s v="18/08 23:18"/>
    <n v="-40"/>
    <s v="4h05min"/>
    <s v="95 km/h"/>
    <x v="2"/>
    <x v="1"/>
    <s v="PONTUAL"/>
  </r>
  <r>
    <s v="39069473"/>
    <x v="20"/>
    <s v="CLEITON PEREIRA"/>
    <s v="BDV6I14"/>
    <s v="18/08 20:00"/>
    <x v="0"/>
    <s v="18/08 19:22"/>
    <n v="-37"/>
    <s v="19/08 09:00"/>
    <s v="19/08 14:37"/>
    <n v="338"/>
    <s v="19h15min"/>
    <s v="120 km/h"/>
    <x v="2"/>
    <x v="0"/>
    <s v="CRITICO"/>
  </r>
  <r>
    <s v="39070441"/>
    <x v="21"/>
    <s v="WILLIAM CARLOS FERREIRA"/>
    <s v="OYM6C71"/>
    <s v="18/08 20:00"/>
    <x v="0"/>
    <s v="18/08 16:08"/>
    <n v="-232"/>
    <s v="19/08 06:00"/>
    <s v="19/08 00:17"/>
    <n v="-343"/>
    <s v="8h09min"/>
    <s v="105 km/h"/>
    <x v="2"/>
    <x v="1"/>
    <s v="PONTUAL"/>
  </r>
  <r>
    <s v="39068671"/>
    <x v="22"/>
    <s v="MARCIO JOSE MARTINS BUENO"/>
    <s v="AXQ3C38"/>
    <s v="18/08 20:00"/>
    <x v="0"/>
    <s v="18/08 19:41"/>
    <n v="-18"/>
    <s v="19/08 12:00"/>
    <s v="19/08 13:43"/>
    <n v="103"/>
    <s v="18h02min"/>
    <s v="96 km/h"/>
    <x v="2"/>
    <x v="0"/>
    <s v="CRITICO"/>
  </r>
  <r>
    <s v="39071181"/>
    <x v="23"/>
    <s v="GILMAR HOLM VIEIRA"/>
    <s v="UBZ0C98"/>
    <s v="18/08 19:00"/>
    <x v="0"/>
    <s v="18/08 17:30"/>
    <n v="-90"/>
    <s v="19/08 00:00"/>
    <s v="18/08 23:57"/>
    <n v="-3"/>
    <s v="6h27min"/>
    <s v="—"/>
    <x v="2"/>
    <x v="1"/>
    <s v="PONTUAL"/>
  </r>
  <r>
    <s v="39066815"/>
    <x v="24"/>
    <s v="ROQUE AUGUSTO DA SILVA"/>
    <s v="AJI3D22"/>
    <s v="18/08 19:00"/>
    <x v="0"/>
    <s v="18/08 18:21"/>
    <n v="-38"/>
    <s v="19/08 06:00"/>
    <s v="19/08 06:55"/>
    <n v="56"/>
    <s v="12h34min"/>
    <s v="95 km/h"/>
    <x v="2"/>
    <x v="3"/>
    <s v="ATRASADO"/>
  </r>
  <r>
    <s v="39068554"/>
    <x v="25"/>
    <s v="GELSON APARECIDO BONIFACIO"/>
    <s v="RTX6A41"/>
    <s v="18/08 19:00"/>
    <x v="0"/>
    <s v="18/08 18:42"/>
    <n v="-18"/>
    <s v="19/08 07:00"/>
    <s v="19/08 07:36"/>
    <n v="37"/>
    <s v="12h55min"/>
    <s v="108 km/h"/>
    <x v="2"/>
    <x v="3"/>
    <s v="ATRASADO"/>
  </r>
  <r>
    <s v="39069363"/>
    <x v="26"/>
    <s v="ANTONIO MACHADO BELTRAO"/>
    <s v="AXW6774"/>
    <s v="18/08 15:30"/>
    <x v="0"/>
    <s v="18/08 13:47"/>
    <n v="-102"/>
    <s v="19/08 04:00"/>
    <s v="19/08 03:17"/>
    <n v="-42"/>
    <s v="13h30min"/>
    <s v="102 km/h"/>
    <x v="2"/>
    <x v="1"/>
    <s v="PONTUAL"/>
  </r>
  <r>
    <s v="39056389"/>
    <x v="27"/>
    <s v="ITAMAR SILVERIO"/>
    <s v="QJO5H02"/>
    <s v="18/08 08:00"/>
    <x v="0"/>
    <s v="18/08 06:23"/>
    <n v="-96"/>
    <s v="18/08 13:00"/>
    <s v="18/08 09:20"/>
    <n v="-219"/>
    <s v="2h57min"/>
    <s v="—"/>
    <x v="2"/>
    <x v="1"/>
    <s v="PONTUAL"/>
  </r>
  <r>
    <s v="39065609"/>
    <x v="28"/>
    <s v="VALMIR DE OLIVEIRA"/>
    <s v="BAR7I87"/>
    <s v="18/08 06:30"/>
    <x v="0"/>
    <s v="18/08 07:43"/>
    <n v="74"/>
    <s v="18/08 09:30"/>
    <s v="18/08 10:12"/>
    <n v="42"/>
    <s v="2h29min"/>
    <s v="94 km/h"/>
    <x v="1"/>
    <x v="3"/>
    <s v="ATRASADO"/>
  </r>
  <r>
    <s v="39059969"/>
    <x v="29"/>
    <s v="WESLEY THIAGO DOS SANTOS"/>
    <s v="NZW4D41"/>
    <s v="18/08 03:00"/>
    <x v="0"/>
    <s v="18/08 02:33"/>
    <n v="-26"/>
    <s v="18/08 08:00"/>
    <s v="18/08 07:04"/>
    <n v="-56"/>
    <s v="4h30min"/>
    <s v="97 km/h"/>
    <x v="2"/>
    <x v="1"/>
    <s v="PONTUAL"/>
  </r>
  <r>
    <s v="39056738"/>
    <x v="30"/>
    <s v="JOSE DONISETE ARANTES"/>
    <s v="APR6C41"/>
    <s v="18/08 03:00"/>
    <x v="0"/>
    <s v="18/08 03:27"/>
    <n v="27"/>
    <s v="18/08 08:30"/>
    <s v="18/08 09:44"/>
    <n v="74"/>
    <s v="6h17min"/>
    <s v="101 km/h"/>
    <x v="0"/>
    <x v="0"/>
    <s v="CRITICO"/>
  </r>
  <r>
    <s v="39072079"/>
    <x v="31"/>
    <s v="GERSON BARCELLOS AGRA"/>
    <s v="DPE5614"/>
    <s v="18/08 02:00"/>
    <x v="0"/>
    <s v="18/08 17:59"/>
    <n v="959"/>
    <s v="18/08 04:00"/>
    <s v="18/08 20:25"/>
    <n v="985"/>
    <s v="2h26min"/>
    <s v="90 km/h"/>
    <x v="1"/>
    <x v="0"/>
    <s v="CRITICO"/>
  </r>
  <r>
    <s v="39057719"/>
    <x v="31"/>
    <s v="CLAUDINES DE ARAUJO MORAIS"/>
    <s v="FVS0C80"/>
    <s v="18/08 02:00"/>
    <x v="0"/>
    <s v="18/08 01:03"/>
    <n v="-56"/>
    <s v="18/08 04:00"/>
    <s v="18/08 19:58"/>
    <n v="958"/>
    <s v="18h55min"/>
    <s v="101 km/h"/>
    <x v="2"/>
    <x v="0"/>
    <s v="CRITICO"/>
  </r>
  <r>
    <s v="39058287"/>
    <x v="32"/>
    <s v="MARCOS LEANDRO DE PAULA"/>
    <s v="MEY1C33"/>
    <s v="18/08 01:00"/>
    <x v="0"/>
    <s v="18/08 00:22"/>
    <n v="-37"/>
    <s v="18/08 05:45"/>
    <s v="18/08 05:04"/>
    <n v="-41"/>
    <s v="4h41min"/>
    <s v="102 km/h"/>
    <x v="2"/>
    <x v="1"/>
    <s v="PONTUAL"/>
  </r>
  <r>
    <s v="39064089"/>
    <x v="33"/>
    <s v="ALEXANDRO DE LIMA"/>
    <s v="AVR5C96"/>
    <s v="18/08 01:00"/>
    <x v="0"/>
    <s v="18/08 01:11"/>
    <n v="12"/>
    <s v="18/08 07:30"/>
    <s v="18/08 08:36"/>
    <n v="66"/>
    <s v="7h24min"/>
    <s v="110 km/h"/>
    <x v="0"/>
    <x v="0"/>
    <s v="CRITICO"/>
  </r>
  <r>
    <s v="39064062"/>
    <x v="34"/>
    <s v="SERGIO GONCALVES DA ROSA"/>
    <s v="COR7B99"/>
    <s v="18/08 01:00"/>
    <x v="0"/>
    <s v="18/08 01:09"/>
    <n v="9"/>
    <s v="18/08 06:30"/>
    <s v="18/08 15:53"/>
    <n v="564"/>
    <s v="14h44min"/>
    <s v="92 km/h"/>
    <x v="0"/>
    <x v="0"/>
    <s v="CRITICO"/>
  </r>
  <r>
    <s v="39056751"/>
    <x v="35"/>
    <s v="ALEXANDRE JOSE DE OLIVEIRA PINTO"/>
    <s v="FJX5D11"/>
    <s v="18/08 00:30"/>
    <x v="0"/>
    <s v="17/08 23:27"/>
    <n v="-63"/>
    <s v="18/08 04:30"/>
    <s v="18/08 06:57"/>
    <n v="148"/>
    <s v="7h30min"/>
    <s v="105 km/h"/>
    <x v="2"/>
    <x v="0"/>
    <s v="CRITICO"/>
  </r>
  <r>
    <s v="39069460"/>
    <x v="36"/>
    <s v="VALDECIR GONCALVES PEREIRA"/>
    <s v="ASC2C15"/>
    <s v="18/08 00:00"/>
    <x v="0"/>
    <s v="18/08 23:04"/>
    <n v="1384"/>
    <s v="18/08 09:45"/>
    <s v="19/08 09:56"/>
    <n v="1452"/>
    <s v="10h53min"/>
    <s v="98 km/h"/>
    <x v="1"/>
    <x v="0"/>
    <s v="CRITICO"/>
  </r>
  <r>
    <s v="39069519"/>
    <x v="37"/>
    <s v="AGUINALDO MARTINS BUENO"/>
    <s v="APD2D61"/>
    <s v="18/08 00:00"/>
    <x v="0"/>
    <s v="18/08 23:58"/>
    <n v="1438"/>
    <s v="18/08 07:00"/>
    <s v="19/08 09:08"/>
    <n v="1569"/>
    <s v="9h11min"/>
    <s v="101 km/h"/>
    <x v="1"/>
    <x v="0"/>
    <s v="CRITI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AE93B-0CCB-4BC4-B90C-89B693F3D60F}" name="Tabela dinâmica7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+ ROTA" colHeaderCaption="status chegada">
  <location ref="H3:M6" firstHeaderRow="1" firstDataRow="2" firstDataCol="1"/>
  <pivotFields count="16">
    <pivotField dataField="1" showAll="0"/>
    <pivotField axis="axisRow" showAll="0" sortType="descending">
      <items count="39">
        <item x="18"/>
        <item x="13"/>
        <item x="8"/>
        <item x="4"/>
        <item x="28"/>
        <item x="23"/>
        <item x="0"/>
        <item x="5"/>
        <item x="36"/>
        <item x="35"/>
        <item x="31"/>
        <item x="3"/>
        <item x="1"/>
        <item x="7"/>
        <item x="32"/>
        <item x="30"/>
        <item x="29"/>
        <item x="11"/>
        <item x="27"/>
        <item x="37"/>
        <item x="25"/>
        <item x="24"/>
        <item x="34"/>
        <item x="33"/>
        <item x="26"/>
        <item x="15"/>
        <item x="9"/>
        <item x="2"/>
        <item x="10"/>
        <item x="12"/>
        <item x="6"/>
        <item x="17"/>
        <item x="14"/>
        <item x="16"/>
        <item x="22"/>
        <item x="20"/>
        <item x="19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2"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</pivotFields>
  <rowFields count="2">
    <field x="5"/>
    <field x="1"/>
  </rowFields>
  <rowItems count="2">
    <i>
      <x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  " fld="0" subtotal="count" baseField="0" baseItem="0"/>
  </dataFields>
  <formats count="55">
    <format dxfId="58">
      <pivotArea collapsedLevelsAreSubtotals="1" fieldPosition="0">
        <references count="1">
          <reference field="5" count="0"/>
        </references>
      </pivotArea>
    </format>
    <format dxfId="59">
      <pivotArea dataOnly="0" labelOnly="1" fieldPosition="0">
        <references count="1">
          <reference field="5" count="0"/>
        </references>
      </pivotArea>
    </format>
    <format dxfId="60">
      <pivotArea type="all" dataOnly="0" outline="0" fieldPosition="0"/>
    </format>
    <format dxfId="61">
      <pivotArea outline="0" collapsedLevelsAreSubtotals="1" fieldPosition="0"/>
    </format>
    <format dxfId="62">
      <pivotArea type="origin" dataOnly="0" labelOnly="1" outline="0" fieldPosition="0"/>
    </format>
    <format dxfId="63">
      <pivotArea field="13" type="button" dataOnly="0" labelOnly="1" outline="0"/>
    </format>
    <format dxfId="64">
      <pivotArea type="topRight" dataOnly="0" labelOnly="1" outline="0" fieldPosition="0"/>
    </format>
    <format dxfId="65">
      <pivotArea field="5" type="button" dataOnly="0" labelOnly="1" outline="0" axis="axisRow" fieldPosition="0"/>
    </format>
    <format dxfId="66">
      <pivotArea dataOnly="0" labelOnly="1" fieldPosition="0">
        <references count="1">
          <reference field="5" count="0"/>
        </references>
      </pivotArea>
    </format>
    <format dxfId="67">
      <pivotArea dataOnly="0" labelOnly="1" grandRow="1" outline="0" fieldPosition="0"/>
    </format>
    <format dxfId="68">
      <pivotArea dataOnly="0" labelOnly="1" grandCol="1" outline="0" fieldPosition="0"/>
    </format>
    <format dxfId="69">
      <pivotArea type="origin" dataOnly="0" labelOnly="1" outline="0" fieldPosition="0"/>
    </format>
    <format dxfId="70">
      <pivotArea field="13" type="button" dataOnly="0" labelOnly="1" outline="0"/>
    </format>
    <format dxfId="71">
      <pivotArea type="topRight" dataOnly="0" labelOnly="1" outline="0" fieldPosition="0"/>
    </format>
    <format dxfId="72">
      <pivotArea field="5" type="button" dataOnly="0" labelOnly="1" outline="0" axis="axisRow" fieldPosition="0"/>
    </format>
    <format dxfId="73">
      <pivotArea dataOnly="0" labelOnly="1" grandCol="1" outline="0" fieldPosition="0"/>
    </format>
    <format dxfId="74">
      <pivotArea type="origin" dataOnly="0" labelOnly="1" outline="0" fieldPosition="0"/>
    </format>
    <format dxfId="75">
      <pivotArea field="13" type="button" dataOnly="0" labelOnly="1" outline="0"/>
    </format>
    <format dxfId="76">
      <pivotArea type="topRight" dataOnly="0" labelOnly="1" outline="0" fieldPosition="0"/>
    </format>
    <format dxfId="77">
      <pivotArea field="5" type="button" dataOnly="0" labelOnly="1" outline="0" axis="axisRow" fieldPosition="0"/>
    </format>
    <format dxfId="78">
      <pivotArea dataOnly="0" labelOnly="1" grandCol="1" outline="0" fieldPosition="0"/>
    </format>
    <format dxfId="79">
      <pivotArea type="origin" dataOnly="0" labelOnly="1" outline="0" fieldPosition="0"/>
    </format>
    <format dxfId="80">
      <pivotArea field="13" type="button" dataOnly="0" labelOnly="1" outline="0"/>
    </format>
    <format dxfId="81">
      <pivotArea type="topRight" dataOnly="0" labelOnly="1" outline="0" fieldPosition="0"/>
    </format>
    <format dxfId="82">
      <pivotArea field="5" type="button" dataOnly="0" labelOnly="1" outline="0" axis="axisRow" fieldPosition="0"/>
    </format>
    <format dxfId="83">
      <pivotArea dataOnly="0" labelOnly="1" grandCol="1" outline="0" fieldPosition="0"/>
    </format>
    <format dxfId="84">
      <pivotArea outline="0" collapsedLevelsAreSubtotals="1" fieldPosition="0"/>
    </format>
    <format dxfId="85">
      <pivotArea field="13" type="button" dataOnly="0" labelOnly="1" outline="0"/>
    </format>
    <format dxfId="86">
      <pivotArea type="topRight" dataOnly="0" labelOnly="1" outline="0" fieldPosition="0"/>
    </format>
    <format dxfId="87">
      <pivotArea dataOnly="0" labelOnly="1" grandCol="1" outline="0" fieldPosition="0"/>
    </format>
    <format dxfId="88">
      <pivotArea collapsedLevelsAreSubtotals="1" fieldPosition="0">
        <references count="1">
          <reference field="5" count="0"/>
        </references>
      </pivotArea>
    </format>
    <format dxfId="89">
      <pivotArea dataOnly="0" labelOnly="1" fieldPosition="0">
        <references count="1">
          <reference field="5" count="0"/>
        </references>
      </pivotArea>
    </format>
    <format dxfId="90">
      <pivotArea grandRow="1" outline="0" collapsedLevelsAreSubtotals="1" fieldPosition="0"/>
    </format>
    <format dxfId="91">
      <pivotArea dataOnly="0" labelOnly="1" grandRow="1" outline="0" fieldPosition="0"/>
    </format>
    <format dxfId="92">
      <pivotArea grandRow="1" outline="0" collapsedLevelsAreSubtotals="1" fieldPosition="0"/>
    </format>
    <format dxfId="93">
      <pivotArea dataOnly="0" labelOnly="1" grandRow="1" outline="0" fieldPosition="0"/>
    </format>
    <format dxfId="94">
      <pivotArea dataOnly="0" labelOnly="1" fieldPosition="0">
        <references count="1">
          <reference field="14" count="0"/>
        </references>
      </pivotArea>
    </format>
    <format dxfId="95">
      <pivotArea dataOnly="0" labelOnly="1" fieldPosition="0">
        <references count="1">
          <reference field="14" count="1">
            <x v="0"/>
          </reference>
        </references>
      </pivotArea>
    </format>
    <format dxfId="96">
      <pivotArea type="origin" dataOnly="0" labelOnly="1" outline="0" fieldPosition="0"/>
    </format>
    <format dxfId="97">
      <pivotArea field="5" type="button" dataOnly="0" labelOnly="1" outline="0" axis="axisRow" fieldPosition="0"/>
    </format>
    <format dxfId="98">
      <pivotArea dataOnly="0" labelOnly="1" grandRow="1" outline="0" fieldPosition="0"/>
    </format>
    <format dxfId="99">
      <pivotArea field="14" type="button" dataOnly="0" labelOnly="1" outline="0" axis="axisCol" fieldPosition="0"/>
    </format>
    <format dxfId="100">
      <pivotArea type="topRight" dataOnly="0" labelOnly="1" outline="0" fieldPosition="0"/>
    </format>
    <format dxfId="101">
      <pivotArea dataOnly="0" labelOnly="1" grandCol="1" outline="0" fieldPosition="0"/>
    </format>
    <format dxfId="102">
      <pivotArea grandRow="1" grandCol="1" outline="0" collapsedLevelsAreSubtotals="1" fieldPosition="0"/>
    </format>
    <format dxfId="103">
      <pivotArea dataOnly="0" labelOnly="1" fieldPosition="0">
        <references count="1">
          <reference field="14" count="1">
            <x v="1"/>
          </reference>
        </references>
      </pivotArea>
    </format>
    <format dxfId="104">
      <pivotArea field="14" grandRow="1" outline="0" collapsedLevelsAreSubtotals="1" axis="axisCol" fieldPosition="0">
        <references count="1">
          <reference field="14" count="1" selected="0">
            <x v="1"/>
          </reference>
        </references>
      </pivotArea>
    </format>
    <format dxfId="105">
      <pivotArea dataOnly="0" labelOnly="1" fieldPosition="0">
        <references count="1">
          <reference field="14" count="1">
            <x v="1"/>
          </reference>
        </references>
      </pivotArea>
    </format>
    <format dxfId="106">
      <pivotArea field="14" grandRow="1" outline="0" collapsedLevelsAreSubtotals="1" axis="axisCol" fieldPosition="0">
        <references count="1">
          <reference field="14" count="1" selected="0">
            <x v="1"/>
          </reference>
        </references>
      </pivotArea>
    </format>
    <format dxfId="107">
      <pivotArea dataOnly="0" labelOnly="1" fieldPosition="0">
        <references count="1">
          <reference field="14" count="1">
            <x v="2"/>
          </reference>
        </references>
      </pivotArea>
    </format>
    <format dxfId="108">
      <pivotArea field="14" grandRow="1" outline="0" collapsedLevelsAreSubtotals="1" axis="axisCol" fieldPosition="0">
        <references count="1">
          <reference field="14" count="1" selected="0">
            <x v="2"/>
          </reference>
        </references>
      </pivotArea>
    </format>
    <format dxfId="109">
      <pivotArea dataOnly="0" labelOnly="1" fieldPosition="0">
        <references count="1">
          <reference field="14" count="1">
            <x v="3"/>
          </reference>
        </references>
      </pivotArea>
    </format>
    <format dxfId="110">
      <pivotArea field="14" grandRow="1" outline="0" collapsedLevelsAreSubtotals="1" axis="axisCol" fieldPosition="0">
        <references count="1">
          <reference field="14" count="1" selected="0">
            <x v="3"/>
          </reference>
        </references>
      </pivotArea>
    </format>
    <format dxfId="111">
      <pivotArea dataOnly="0" labelOnly="1" fieldPosition="0">
        <references count="1">
          <reference field="14" count="1">
            <x v="2"/>
          </reference>
        </references>
      </pivotArea>
    </format>
    <format dxfId="112">
      <pivotArea field="14" grandRow="1" outline="0" collapsedLevelsAreSubtotals="1" axis="axisCol" fieldPosition="0">
        <references count="1">
          <reference field="14" count="1" selected="0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85A0E-9C1C-4658-8FCA-E5DB66B8FCCB}" name="Tabela dinâmica6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+ ROTA" colHeaderCaption="status saida">
  <location ref="A3:E6" firstHeaderRow="1" firstDataRow="2" firstDataCol="1"/>
  <pivotFields count="16">
    <pivotField dataField="1" showAll="0"/>
    <pivotField axis="axisRow" showAll="0" sortType="descending">
      <items count="39">
        <item x="18"/>
        <item x="13"/>
        <item x="8"/>
        <item x="4"/>
        <item x="28"/>
        <item x="23"/>
        <item x="0"/>
        <item x="5"/>
        <item x="36"/>
        <item x="35"/>
        <item x="31"/>
        <item x="3"/>
        <item x="1"/>
        <item x="7"/>
        <item x="32"/>
        <item x="30"/>
        <item x="29"/>
        <item x="11"/>
        <item x="27"/>
        <item x="37"/>
        <item x="25"/>
        <item x="24"/>
        <item x="34"/>
        <item x="33"/>
        <item x="26"/>
        <item x="15"/>
        <item x="9"/>
        <item x="2"/>
        <item x="10"/>
        <item x="12"/>
        <item x="6"/>
        <item x="17"/>
        <item x="14"/>
        <item x="16"/>
        <item x="22"/>
        <item x="20"/>
        <item x="19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2"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</pivotFields>
  <rowFields count="2">
    <field x="5"/>
    <field x="1"/>
  </rowFields>
  <rowItems count="2">
    <i>
      <x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  " fld="0" subtotal="count" baseField="0" baseItem="0"/>
  </dataFields>
  <formats count="58">
    <format dxfId="0">
      <pivotArea collapsedLevelsAreSubtotals="1" fieldPosition="0">
        <references count="1">
          <reference field="5" count="0"/>
        </references>
      </pivotArea>
    </format>
    <format dxfId="1">
      <pivotArea dataOnly="0" labelOnly="1" fieldPosition="0">
        <references count="1">
          <reference field="5" count="0"/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type="origin" dataOnly="0" labelOnly="1" outline="0" fieldPosition="0"/>
    </format>
    <format dxfId="5">
      <pivotArea field="13" type="button" dataOnly="0" labelOnly="1" outline="0" axis="axisCol" fieldPosition="0"/>
    </format>
    <format dxfId="6">
      <pivotArea type="topRight" dataOnly="0" labelOnly="1" outline="0" fieldPosition="0"/>
    </format>
    <format dxfId="7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1">
          <reference field="13" count="0"/>
        </references>
      </pivotArea>
    </format>
    <format dxfId="11">
      <pivotArea dataOnly="0" labelOnly="1" grandCol="1" outline="0" fieldPosition="0"/>
    </format>
    <format dxfId="12">
      <pivotArea type="origin" dataOnly="0" labelOnly="1" outline="0" fieldPosition="0"/>
    </format>
    <format dxfId="13">
      <pivotArea field="13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5" type="button" dataOnly="0" labelOnly="1" outline="0" axis="axisRow" fieldPosition="0"/>
    </format>
    <format dxfId="16">
      <pivotArea dataOnly="0" labelOnly="1" fieldPosition="0">
        <references count="1">
          <reference field="13" count="0"/>
        </references>
      </pivotArea>
    </format>
    <format dxfId="17">
      <pivotArea dataOnly="0" labelOnly="1" grandCol="1" outline="0" fieldPosition="0"/>
    </format>
    <format dxfId="18">
      <pivotArea type="origin" dataOnly="0" labelOnly="1" outline="0" fieldPosition="0"/>
    </format>
    <format dxfId="19">
      <pivotArea field="13" type="button" dataOnly="0" labelOnly="1" outline="0" axis="axisCol" fieldPosition="0"/>
    </format>
    <format dxfId="20">
      <pivotArea type="topRight" dataOnly="0" labelOnly="1" outline="0" fieldPosition="0"/>
    </format>
    <format dxfId="21">
      <pivotArea field="5" type="button" dataOnly="0" labelOnly="1" outline="0" axis="axisRow" fieldPosition="0"/>
    </format>
    <format dxfId="22">
      <pivotArea dataOnly="0" labelOnly="1" fieldPosition="0">
        <references count="1">
          <reference field="13" count="0"/>
        </references>
      </pivotArea>
    </format>
    <format dxfId="23">
      <pivotArea dataOnly="0" labelOnly="1" grandCol="1" outline="0" fieldPosition="0"/>
    </format>
    <format dxfId="24">
      <pivotArea type="origin" dataOnly="0" labelOnly="1" outline="0" fieldPosition="0"/>
    </format>
    <format dxfId="25">
      <pivotArea field="13" type="button" dataOnly="0" labelOnly="1" outline="0" axis="axisCol" fieldPosition="0"/>
    </format>
    <format dxfId="26">
      <pivotArea type="topRight" dataOnly="0" labelOnly="1" outline="0" fieldPosition="0"/>
    </format>
    <format dxfId="27">
      <pivotArea field="5" type="button" dataOnly="0" labelOnly="1" outline="0" axis="axisRow" fieldPosition="0"/>
    </format>
    <format dxfId="28">
      <pivotArea dataOnly="0" labelOnly="1" fieldPosition="0">
        <references count="1">
          <reference field="13" count="0"/>
        </references>
      </pivotArea>
    </format>
    <format dxfId="29">
      <pivotArea dataOnly="0" labelOnly="1" grandCol="1" outline="0" fieldPosition="0"/>
    </format>
    <format dxfId="30">
      <pivotArea outline="0" collapsedLevelsAreSubtotals="1" fieldPosition="0"/>
    </format>
    <format dxfId="31">
      <pivotArea field="13" type="button" dataOnly="0" labelOnly="1" outline="0" axis="axisCol" fieldPosition="0"/>
    </format>
    <format dxfId="32">
      <pivotArea type="topRight" dataOnly="0" labelOnly="1" outline="0" fieldPosition="0"/>
    </format>
    <format dxfId="33">
      <pivotArea dataOnly="0" labelOnly="1" fieldPosition="0">
        <references count="1">
          <reference field="13" count="0"/>
        </references>
      </pivotArea>
    </format>
    <format dxfId="34">
      <pivotArea dataOnly="0" labelOnly="1" grandCol="1" outline="0" fieldPosition="0"/>
    </format>
    <format dxfId="35">
      <pivotArea collapsedLevelsAreSubtotals="1" fieldPosition="0">
        <references count="1">
          <reference field="5" count="0"/>
        </references>
      </pivotArea>
    </format>
    <format dxfId="36">
      <pivotArea dataOnly="0" labelOnly="1" fieldPosition="0">
        <references count="1">
          <reference field="5" count="0"/>
        </references>
      </pivotArea>
    </format>
    <format dxfId="37">
      <pivotArea grandRow="1" outline="0" collapsedLevelsAreSubtotals="1" fieldPosition="0"/>
    </format>
    <format dxfId="38">
      <pivotArea dataOnly="0" labelOnly="1" grandRow="1" outline="0" fieldPosition="0"/>
    </format>
    <format dxfId="39">
      <pivotArea grandRow="1" outline="0" collapsedLevelsAreSubtotals="1" fieldPosition="0"/>
    </format>
    <format dxfId="40">
      <pivotArea dataOnly="0" labelOnly="1" grandRow="1" outline="0" fieldPosition="0"/>
    </format>
    <format dxfId="41">
      <pivotArea dataOnly="0" labelOnly="1" fieldPosition="0">
        <references count="1">
          <reference field="13" count="1">
            <x v="1"/>
          </reference>
        </references>
      </pivotArea>
    </format>
    <format dxfId="42">
      <pivotArea field="13" grandRow="1" outline="0" collapsedLevelsAreSubtotals="1" axis="axisCol" fieldPosition="0">
        <references count="1">
          <reference field="13" count="1" selected="0">
            <x v="1"/>
          </reference>
        </references>
      </pivotArea>
    </format>
    <format dxfId="43">
      <pivotArea dataOnly="0" labelOnly="1" fieldPosition="0">
        <references count="1">
          <reference field="13" count="1">
            <x v="1"/>
          </reference>
        </references>
      </pivotArea>
    </format>
    <format dxfId="44">
      <pivotArea field="13" grandRow="1" outline="0" collapsedLevelsAreSubtotals="1" axis="axisCol" fieldPosition="0">
        <references count="1">
          <reference field="13" count="1" selected="0">
            <x v="1"/>
          </reference>
        </references>
      </pivotArea>
    </format>
    <format dxfId="45">
      <pivotArea dataOnly="0" labelOnly="1" fieldPosition="0">
        <references count="1">
          <reference field="13" count="1">
            <x v="2"/>
          </reference>
        </references>
      </pivotArea>
    </format>
    <format dxfId="46">
      <pivotArea field="13" grandRow="1" outline="0" collapsedLevelsAreSubtotals="1" axis="axisCol" fieldPosition="0">
        <references count="1">
          <reference field="13" count="1" selected="0">
            <x v="2"/>
          </reference>
        </references>
      </pivotArea>
    </format>
    <format dxfId="47">
      <pivotArea type="origin" dataOnly="0" labelOnly="1" outline="0" fieldPosition="0"/>
    </format>
    <format dxfId="48">
      <pivotArea field="13" type="button" dataOnly="0" labelOnly="1" outline="0" axis="axisCol" fieldPosition="0"/>
    </format>
    <format dxfId="49">
      <pivotArea type="topRight" dataOnly="0" labelOnly="1" outline="0" fieldPosition="0"/>
    </format>
    <format dxfId="50">
      <pivotArea field="5" type="button" dataOnly="0" labelOnly="1" outline="0" axis="axisRow" fieldPosition="0"/>
    </format>
    <format dxfId="51">
      <pivotArea dataOnly="0" labelOnly="1" fieldPosition="0">
        <references count="1">
          <reference field="5" count="0"/>
        </references>
      </pivotArea>
    </format>
    <format dxfId="52">
      <pivotArea dataOnly="0" labelOnly="1" grandCol="1" outline="0" fieldPosition="0"/>
    </format>
    <format dxfId="53">
      <pivotArea grandRow="1" grandCol="1" outline="0" collapsedLevelsAreSubtotals="1" fieldPosition="0"/>
    </format>
    <format dxfId="54">
      <pivotArea dataOnly="0" labelOnly="1" fieldPosition="0">
        <references count="1">
          <reference field="5" count="0"/>
        </references>
      </pivotArea>
    </format>
    <format dxfId="55">
      <pivotArea dataOnly="0" labelOnly="1" grandRow="1" outline="0" fieldPosition="0"/>
    </format>
    <format dxfId="56">
      <pivotArea dataOnly="0" labelOnly="1" fieldPosition="0">
        <references count="1">
          <reference field="5" count="0"/>
        </references>
      </pivotArea>
    </format>
    <format dxfId="57">
      <pivotArea dataOnly="0" labelOnly="1" fieldPosition="0">
        <references count="1">
          <reference field="5" count="0"/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3532D-49A2-462F-9CED-9D9FD0D1B1CA}" name="Tabela1" displayName="Tabela1" ref="A3:P28" totalsRowShown="0">
  <autoFilter ref="A3:P28" xr:uid="{6163532D-49A2-462F-9CED-9D9FD0D1B1CA}"/>
  <tableColumns count="16">
    <tableColumn id="1" xr3:uid="{DA3900AD-5EA9-404E-9288-84D4FB87D10D}" name="Cód. Viagem"/>
    <tableColumn id="2" xr3:uid="{30478D67-5B60-435C-809E-AB37458AC11D}" name="Rota"/>
    <tableColumn id="3" xr3:uid="{6CA68F3A-267A-410D-BC98-4C7280C64180}" name="Motorista"/>
    <tableColumn id="4" xr3:uid="{0295A931-B017-4714-9C9A-D433E10CC311}" name="Placa"/>
    <tableColumn id="5" xr3:uid="{12BC5E42-0BB2-48AA-AFA4-616D049876F6}" name="Saída Prevista"/>
    <tableColumn id="6" xr3:uid="{5E9A3DE8-0B23-4941-BC3C-C63B42A94BAB}" name="SEMANA SAIDA"/>
    <tableColumn id="7" xr3:uid="{4C1AD454-7F27-49D9-B72B-C2BB14A2A779}" name="Saída Real"/>
    <tableColumn id="8" xr3:uid="{A706FB74-EA58-4A20-8BBB-4AB5E9A13D1C}" name="Atraso Saída (min)"/>
    <tableColumn id="9" xr3:uid="{6EE69F91-53BC-4826-AB46-CD46437F6BC7}" name="Chegada Prevista"/>
    <tableColumn id="10" xr3:uid="{F589149F-0BFF-47C7-A4F9-B436FBE58D15}" name="Chegada Real"/>
    <tableColumn id="11" xr3:uid="{918DD10E-C709-4648-AF30-877BF24DDBDB}" name="Atraso Chegada (min)"/>
    <tableColumn id="12" xr3:uid="{4252E824-F300-4C95-BD45-3C437D774DF3}" name="Duração Real"/>
    <tableColumn id="13" xr3:uid="{1975BCC3-9105-4A5E-BE67-E26429DB3EC7}" name="Pico Velocidade"/>
    <tableColumn id="14" xr3:uid="{FCCE8E52-5EE7-4095-80A6-1CC77E514A19}" name="STATUS 02 SAIDA"/>
    <tableColumn id="15" xr3:uid="{04413EE4-A980-4571-86C0-80E99A6A0902}" name="STATUS 02 CHEGADA"/>
    <tableColumn id="16" xr3:uid="{77E9AFA4-3376-421D-B526-BA495EA06BC5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E99A-6A63-4E31-8289-6E261B18D452}">
  <dimension ref="A1:P28"/>
  <sheetViews>
    <sheetView workbookViewId="0"/>
  </sheetViews>
  <sheetFormatPr defaultRowHeight="15.75"/>
  <cols>
    <col min="1" max="1" width="13.375" bestFit="1" customWidth="1"/>
    <col min="2" max="2" width="57.375" bestFit="1" customWidth="1"/>
    <col min="3" max="3" width="31.875" bestFit="1" customWidth="1"/>
    <col min="4" max="4" width="9.25" bestFit="1" customWidth="1"/>
    <col min="5" max="5" width="14.5" bestFit="1" customWidth="1"/>
    <col min="6" max="6" width="16.75" bestFit="1" customWidth="1"/>
    <col min="7" max="7" width="11.5" bestFit="1" customWidth="1"/>
    <col min="8" max="8" width="18.375" bestFit="1" customWidth="1"/>
    <col min="9" max="9" width="17.375" bestFit="1" customWidth="1"/>
    <col min="10" max="10" width="14.25" bestFit="1" customWidth="1"/>
    <col min="11" max="11" width="21.25" bestFit="1" customWidth="1"/>
    <col min="12" max="12" width="13.875" bestFit="1" customWidth="1"/>
    <col min="13" max="13" width="16.25" bestFit="1" customWidth="1"/>
    <col min="14" max="14" width="17.625" bestFit="1" customWidth="1"/>
    <col min="15" max="15" width="20.875" bestFit="1" customWidth="1"/>
    <col min="16" max="16" width="10" bestFit="1" customWidth="1"/>
  </cols>
  <sheetData>
    <row r="1" spans="1:16">
      <c r="A1" s="23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>
        <v>-26</v>
      </c>
      <c r="I4" t="s">
        <v>24</v>
      </c>
      <c r="J4" t="s">
        <v>25</v>
      </c>
      <c r="K4">
        <v>241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</row>
    <row r="5" spans="1:16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22</v>
      </c>
      <c r="G5" t="s">
        <v>35</v>
      </c>
      <c r="H5">
        <v>1</v>
      </c>
      <c r="I5" t="s">
        <v>36</v>
      </c>
      <c r="J5" t="s">
        <v>37</v>
      </c>
      <c r="K5">
        <v>-52</v>
      </c>
      <c r="L5" t="s">
        <v>38</v>
      </c>
      <c r="M5" t="s">
        <v>39</v>
      </c>
      <c r="N5" t="s">
        <v>28</v>
      </c>
      <c r="O5" t="s">
        <v>28</v>
      </c>
      <c r="P5" t="s">
        <v>40</v>
      </c>
    </row>
    <row r="6" spans="1:16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22</v>
      </c>
      <c r="G6" t="s">
        <v>46</v>
      </c>
      <c r="H6">
        <v>-90</v>
      </c>
      <c r="I6" t="s">
        <v>47</v>
      </c>
      <c r="J6" t="s">
        <v>48</v>
      </c>
      <c r="K6">
        <v>-3</v>
      </c>
      <c r="L6" t="s">
        <v>49</v>
      </c>
      <c r="M6" t="s">
        <v>39</v>
      </c>
      <c r="N6" t="s">
        <v>28</v>
      </c>
      <c r="O6" t="s">
        <v>28</v>
      </c>
      <c r="P6" t="s">
        <v>40</v>
      </c>
    </row>
    <row r="7" spans="1:16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22</v>
      </c>
      <c r="G7" t="s">
        <v>55</v>
      </c>
      <c r="H7">
        <v>-6</v>
      </c>
      <c r="I7" t="s">
        <v>56</v>
      </c>
      <c r="J7" t="s">
        <v>57</v>
      </c>
      <c r="K7">
        <v>54</v>
      </c>
      <c r="L7" t="s">
        <v>58</v>
      </c>
      <c r="M7" t="s">
        <v>59</v>
      </c>
      <c r="N7" t="s">
        <v>28</v>
      </c>
      <c r="O7" t="s">
        <v>60</v>
      </c>
      <c r="P7" t="s">
        <v>61</v>
      </c>
    </row>
    <row r="8" spans="1:16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22</v>
      </c>
      <c r="G8" t="s">
        <v>67</v>
      </c>
      <c r="H8">
        <v>-63</v>
      </c>
      <c r="I8" t="s">
        <v>68</v>
      </c>
      <c r="J8" t="s">
        <v>69</v>
      </c>
      <c r="K8">
        <v>148</v>
      </c>
      <c r="L8" t="s">
        <v>70</v>
      </c>
      <c r="M8" t="s">
        <v>71</v>
      </c>
      <c r="N8" t="s">
        <v>28</v>
      </c>
      <c r="O8" t="s">
        <v>29</v>
      </c>
      <c r="P8" t="s">
        <v>30</v>
      </c>
    </row>
    <row r="9" spans="1:16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22</v>
      </c>
      <c r="G9" t="s">
        <v>77</v>
      </c>
      <c r="H9">
        <v>-56</v>
      </c>
      <c r="I9" t="s">
        <v>78</v>
      </c>
      <c r="J9" t="s">
        <v>79</v>
      </c>
      <c r="K9">
        <v>958</v>
      </c>
      <c r="L9" t="s">
        <v>80</v>
      </c>
      <c r="M9" t="s">
        <v>27</v>
      </c>
      <c r="N9" t="s">
        <v>28</v>
      </c>
      <c r="O9" t="s">
        <v>29</v>
      </c>
      <c r="P9" t="s">
        <v>30</v>
      </c>
    </row>
    <row r="10" spans="1:16">
      <c r="A10" t="s">
        <v>81</v>
      </c>
      <c r="B10" t="s">
        <v>82</v>
      </c>
      <c r="C10" t="s">
        <v>83</v>
      </c>
      <c r="D10" t="s">
        <v>84</v>
      </c>
      <c r="E10" t="s">
        <v>54</v>
      </c>
      <c r="F10" t="s">
        <v>22</v>
      </c>
      <c r="G10" t="s">
        <v>85</v>
      </c>
      <c r="H10">
        <v>-53</v>
      </c>
      <c r="I10" t="s">
        <v>86</v>
      </c>
      <c r="J10" t="s">
        <v>87</v>
      </c>
      <c r="K10">
        <v>-12</v>
      </c>
      <c r="L10" t="s">
        <v>88</v>
      </c>
      <c r="M10" t="s">
        <v>89</v>
      </c>
      <c r="N10" t="s">
        <v>28</v>
      </c>
      <c r="O10" t="s">
        <v>28</v>
      </c>
      <c r="P10" t="s">
        <v>40</v>
      </c>
    </row>
    <row r="11" spans="1:16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22</v>
      </c>
      <c r="G11" t="s">
        <v>95</v>
      </c>
      <c r="H11">
        <v>-37</v>
      </c>
      <c r="I11" t="s">
        <v>96</v>
      </c>
      <c r="J11" t="s">
        <v>97</v>
      </c>
      <c r="K11">
        <v>-41</v>
      </c>
      <c r="L11" t="s">
        <v>98</v>
      </c>
      <c r="M11" t="s">
        <v>99</v>
      </c>
      <c r="N11" t="s">
        <v>28</v>
      </c>
      <c r="O11" t="s">
        <v>28</v>
      </c>
      <c r="P11" t="s">
        <v>40</v>
      </c>
    </row>
    <row r="12" spans="1:16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22</v>
      </c>
      <c r="G12" t="s">
        <v>105</v>
      </c>
      <c r="H12">
        <v>-26</v>
      </c>
      <c r="I12" t="s">
        <v>106</v>
      </c>
      <c r="J12" t="s">
        <v>107</v>
      </c>
      <c r="K12">
        <v>-56</v>
      </c>
      <c r="L12" t="s">
        <v>108</v>
      </c>
      <c r="M12" t="s">
        <v>109</v>
      </c>
      <c r="N12" t="s">
        <v>28</v>
      </c>
      <c r="O12" t="s">
        <v>28</v>
      </c>
      <c r="P12" t="s">
        <v>40</v>
      </c>
    </row>
    <row r="13" spans="1:16">
      <c r="A13" t="s">
        <v>110</v>
      </c>
      <c r="B13" t="s">
        <v>111</v>
      </c>
      <c r="C13" t="s">
        <v>33</v>
      </c>
      <c r="D13" t="s">
        <v>34</v>
      </c>
      <c r="E13" t="s">
        <v>106</v>
      </c>
      <c r="F13" t="s">
        <v>22</v>
      </c>
      <c r="G13" t="s">
        <v>112</v>
      </c>
      <c r="H13">
        <v>-96</v>
      </c>
      <c r="I13" t="s">
        <v>113</v>
      </c>
      <c r="J13" t="s">
        <v>114</v>
      </c>
      <c r="K13">
        <v>-219</v>
      </c>
      <c r="L13" t="s">
        <v>115</v>
      </c>
      <c r="M13" t="s">
        <v>39</v>
      </c>
      <c r="N13" t="s">
        <v>28</v>
      </c>
      <c r="O13" t="s">
        <v>28</v>
      </c>
      <c r="P13" t="s">
        <v>40</v>
      </c>
    </row>
    <row r="14" spans="1:16">
      <c r="A14" t="s">
        <v>116</v>
      </c>
      <c r="B14" t="s">
        <v>117</v>
      </c>
      <c r="C14" t="s">
        <v>118</v>
      </c>
      <c r="D14" t="s">
        <v>119</v>
      </c>
      <c r="E14" t="s">
        <v>45</v>
      </c>
      <c r="F14" t="s">
        <v>22</v>
      </c>
      <c r="G14" t="s">
        <v>120</v>
      </c>
      <c r="H14">
        <v>-18</v>
      </c>
      <c r="I14" t="s">
        <v>56</v>
      </c>
      <c r="J14" t="s">
        <v>121</v>
      </c>
      <c r="K14">
        <v>37</v>
      </c>
      <c r="L14" t="s">
        <v>122</v>
      </c>
      <c r="M14" t="s">
        <v>123</v>
      </c>
      <c r="N14" t="s">
        <v>28</v>
      </c>
      <c r="O14" t="s">
        <v>60</v>
      </c>
      <c r="P14" t="s">
        <v>61</v>
      </c>
    </row>
    <row r="15" spans="1:16">
      <c r="A15" t="s">
        <v>124</v>
      </c>
      <c r="B15" t="s">
        <v>125</v>
      </c>
      <c r="C15" t="s">
        <v>126</v>
      </c>
      <c r="D15" t="s">
        <v>127</v>
      </c>
      <c r="E15" t="s">
        <v>45</v>
      </c>
      <c r="F15" t="s">
        <v>22</v>
      </c>
      <c r="G15" t="s">
        <v>128</v>
      </c>
      <c r="H15">
        <v>-38</v>
      </c>
      <c r="I15" t="s">
        <v>24</v>
      </c>
      <c r="J15" t="s">
        <v>129</v>
      </c>
      <c r="K15">
        <v>56</v>
      </c>
      <c r="L15" t="s">
        <v>130</v>
      </c>
      <c r="M15" t="s">
        <v>59</v>
      </c>
      <c r="N15" t="s">
        <v>28</v>
      </c>
      <c r="O15" t="s">
        <v>60</v>
      </c>
      <c r="P15" t="s">
        <v>61</v>
      </c>
    </row>
    <row r="16" spans="1:16">
      <c r="A16" t="s">
        <v>131</v>
      </c>
      <c r="B16" t="s">
        <v>132</v>
      </c>
      <c r="C16" t="s">
        <v>133</v>
      </c>
      <c r="D16" t="s">
        <v>134</v>
      </c>
      <c r="E16" t="s">
        <v>135</v>
      </c>
      <c r="F16" t="s">
        <v>22</v>
      </c>
      <c r="G16" t="s">
        <v>136</v>
      </c>
      <c r="H16">
        <v>-102</v>
      </c>
      <c r="I16" t="s">
        <v>137</v>
      </c>
      <c r="J16" t="s">
        <v>138</v>
      </c>
      <c r="K16">
        <v>-42</v>
      </c>
      <c r="L16" t="s">
        <v>139</v>
      </c>
      <c r="M16" t="s">
        <v>99</v>
      </c>
      <c r="N16" t="s">
        <v>28</v>
      </c>
      <c r="O16" t="s">
        <v>28</v>
      </c>
      <c r="P16" t="s">
        <v>40</v>
      </c>
    </row>
    <row r="17" spans="1:16">
      <c r="A17" t="s">
        <v>140</v>
      </c>
      <c r="B17" t="s">
        <v>141</v>
      </c>
      <c r="C17" t="s">
        <v>142</v>
      </c>
      <c r="D17" t="s">
        <v>143</v>
      </c>
      <c r="E17" t="s">
        <v>35</v>
      </c>
      <c r="F17" t="s">
        <v>22</v>
      </c>
      <c r="G17" t="s">
        <v>77</v>
      </c>
      <c r="H17">
        <v>-1256</v>
      </c>
      <c r="I17" t="s">
        <v>47</v>
      </c>
      <c r="J17" t="s">
        <v>144</v>
      </c>
      <c r="K17">
        <v>-985</v>
      </c>
      <c r="L17" t="s">
        <v>145</v>
      </c>
      <c r="M17" t="s">
        <v>146</v>
      </c>
      <c r="N17" t="s">
        <v>28</v>
      </c>
      <c r="O17" t="s">
        <v>28</v>
      </c>
      <c r="P17" t="s">
        <v>40</v>
      </c>
    </row>
    <row r="18" spans="1:16">
      <c r="A18" t="s">
        <v>147</v>
      </c>
      <c r="B18" t="s">
        <v>148</v>
      </c>
      <c r="C18" t="s">
        <v>149</v>
      </c>
      <c r="D18" t="s">
        <v>150</v>
      </c>
      <c r="E18" t="s">
        <v>54</v>
      </c>
      <c r="F18" t="s">
        <v>22</v>
      </c>
      <c r="G18" t="s">
        <v>151</v>
      </c>
      <c r="H18">
        <v>-34</v>
      </c>
      <c r="I18" t="s">
        <v>152</v>
      </c>
      <c r="J18" t="s">
        <v>153</v>
      </c>
      <c r="K18">
        <v>-348</v>
      </c>
      <c r="L18" t="s">
        <v>154</v>
      </c>
      <c r="M18" t="s">
        <v>155</v>
      </c>
      <c r="N18" t="s">
        <v>28</v>
      </c>
      <c r="O18" t="s">
        <v>28</v>
      </c>
      <c r="P18" t="s">
        <v>40</v>
      </c>
    </row>
    <row r="19" spans="1:16">
      <c r="A19" t="s">
        <v>156</v>
      </c>
      <c r="B19" t="s">
        <v>157</v>
      </c>
      <c r="C19" t="s">
        <v>158</v>
      </c>
      <c r="D19" t="s">
        <v>159</v>
      </c>
      <c r="E19" t="s">
        <v>160</v>
      </c>
      <c r="F19" t="s">
        <v>22</v>
      </c>
      <c r="G19" t="s">
        <v>161</v>
      </c>
      <c r="H19">
        <v>-1</v>
      </c>
      <c r="I19" t="s">
        <v>162</v>
      </c>
      <c r="J19" t="s">
        <v>163</v>
      </c>
      <c r="K19">
        <v>12</v>
      </c>
      <c r="L19" t="s">
        <v>164</v>
      </c>
      <c r="M19" t="s">
        <v>123</v>
      </c>
      <c r="N19" t="s">
        <v>28</v>
      </c>
      <c r="O19" t="s">
        <v>165</v>
      </c>
      <c r="P19" t="s">
        <v>166</v>
      </c>
    </row>
    <row r="20" spans="1:16">
      <c r="A20" t="s">
        <v>167</v>
      </c>
      <c r="B20" t="s">
        <v>168</v>
      </c>
      <c r="C20" t="s">
        <v>169</v>
      </c>
      <c r="D20" t="s">
        <v>170</v>
      </c>
      <c r="E20" t="s">
        <v>35</v>
      </c>
      <c r="F20" t="s">
        <v>22</v>
      </c>
      <c r="G20" t="s">
        <v>171</v>
      </c>
      <c r="H20">
        <v>-26</v>
      </c>
      <c r="I20" t="s">
        <v>172</v>
      </c>
      <c r="J20" t="s">
        <v>173</v>
      </c>
      <c r="K20">
        <v>-86</v>
      </c>
      <c r="L20" t="s">
        <v>174</v>
      </c>
      <c r="M20" t="s">
        <v>175</v>
      </c>
      <c r="N20" t="s">
        <v>28</v>
      </c>
      <c r="O20" t="s">
        <v>28</v>
      </c>
      <c r="P20" t="s">
        <v>40</v>
      </c>
    </row>
    <row r="21" spans="1:16">
      <c r="A21" t="s">
        <v>176</v>
      </c>
      <c r="B21" t="s">
        <v>177</v>
      </c>
      <c r="C21" t="s">
        <v>178</v>
      </c>
      <c r="D21" t="s">
        <v>179</v>
      </c>
      <c r="E21" t="s">
        <v>54</v>
      </c>
      <c r="F21" t="s">
        <v>22</v>
      </c>
      <c r="G21" t="s">
        <v>180</v>
      </c>
      <c r="H21">
        <v>-80</v>
      </c>
      <c r="I21" t="s">
        <v>181</v>
      </c>
      <c r="J21" t="s">
        <v>182</v>
      </c>
      <c r="K21">
        <v>-214</v>
      </c>
      <c r="L21" t="s">
        <v>183</v>
      </c>
      <c r="M21" t="s">
        <v>99</v>
      </c>
      <c r="N21" t="s">
        <v>28</v>
      </c>
      <c r="O21" t="s">
        <v>28</v>
      </c>
      <c r="P21" t="s">
        <v>40</v>
      </c>
    </row>
    <row r="22" spans="1:16">
      <c r="A22" t="s">
        <v>184</v>
      </c>
      <c r="B22" t="s">
        <v>185</v>
      </c>
      <c r="C22" t="s">
        <v>186</v>
      </c>
      <c r="D22" t="s">
        <v>187</v>
      </c>
      <c r="E22" t="s">
        <v>21</v>
      </c>
      <c r="F22" t="s">
        <v>22</v>
      </c>
      <c r="G22" t="s">
        <v>188</v>
      </c>
      <c r="H22">
        <v>-33</v>
      </c>
      <c r="I22" t="s">
        <v>189</v>
      </c>
      <c r="J22" t="s">
        <v>190</v>
      </c>
      <c r="K22">
        <v>-275</v>
      </c>
      <c r="L22" t="s">
        <v>191</v>
      </c>
      <c r="M22" t="s">
        <v>192</v>
      </c>
      <c r="N22" t="s">
        <v>28</v>
      </c>
      <c r="O22" t="s">
        <v>28</v>
      </c>
      <c r="P22" t="s">
        <v>40</v>
      </c>
    </row>
    <row r="23" spans="1:16">
      <c r="A23" t="s">
        <v>193</v>
      </c>
      <c r="B23" t="s">
        <v>194</v>
      </c>
      <c r="C23" t="s">
        <v>195</v>
      </c>
      <c r="D23" t="s">
        <v>196</v>
      </c>
      <c r="E23" t="s">
        <v>35</v>
      </c>
      <c r="F23" t="s">
        <v>22</v>
      </c>
      <c r="G23" t="s">
        <v>197</v>
      </c>
      <c r="H23">
        <v>-18</v>
      </c>
      <c r="I23" t="s">
        <v>86</v>
      </c>
      <c r="J23" t="s">
        <v>198</v>
      </c>
      <c r="K23">
        <v>271</v>
      </c>
      <c r="L23" t="s">
        <v>199</v>
      </c>
      <c r="M23" t="s">
        <v>192</v>
      </c>
      <c r="N23" t="s">
        <v>28</v>
      </c>
      <c r="O23" t="s">
        <v>29</v>
      </c>
      <c r="P23" t="s">
        <v>30</v>
      </c>
    </row>
    <row r="24" spans="1:16">
      <c r="A24" t="s">
        <v>200</v>
      </c>
      <c r="B24" t="s">
        <v>201</v>
      </c>
      <c r="C24" t="s">
        <v>202</v>
      </c>
      <c r="D24" t="s">
        <v>203</v>
      </c>
      <c r="E24" t="s">
        <v>35</v>
      </c>
      <c r="F24" t="s">
        <v>22</v>
      </c>
      <c r="G24" t="s">
        <v>204</v>
      </c>
      <c r="H24">
        <v>-12</v>
      </c>
      <c r="I24" t="s">
        <v>24</v>
      </c>
      <c r="J24" t="s">
        <v>205</v>
      </c>
      <c r="K24">
        <v>-92</v>
      </c>
      <c r="L24" t="s">
        <v>206</v>
      </c>
      <c r="M24" t="s">
        <v>123</v>
      </c>
      <c r="N24" t="s">
        <v>28</v>
      </c>
      <c r="O24" t="s">
        <v>28</v>
      </c>
      <c r="P24" t="s">
        <v>40</v>
      </c>
    </row>
    <row r="25" spans="1:16">
      <c r="A25" t="s">
        <v>207</v>
      </c>
      <c r="B25" t="s">
        <v>208</v>
      </c>
      <c r="C25" t="s">
        <v>209</v>
      </c>
      <c r="D25" t="s">
        <v>210</v>
      </c>
      <c r="E25" t="s">
        <v>211</v>
      </c>
      <c r="F25" t="s">
        <v>22</v>
      </c>
      <c r="G25" t="s">
        <v>212</v>
      </c>
      <c r="H25">
        <v>-18</v>
      </c>
      <c r="I25" t="s">
        <v>213</v>
      </c>
      <c r="J25" t="s">
        <v>214</v>
      </c>
      <c r="K25">
        <v>103</v>
      </c>
      <c r="L25" t="s">
        <v>215</v>
      </c>
      <c r="M25" t="s">
        <v>216</v>
      </c>
      <c r="N25" t="s">
        <v>28</v>
      </c>
      <c r="O25" t="s">
        <v>29</v>
      </c>
      <c r="P25" t="s">
        <v>30</v>
      </c>
    </row>
    <row r="26" spans="1:16">
      <c r="A26" t="s">
        <v>217</v>
      </c>
      <c r="B26" t="s">
        <v>218</v>
      </c>
      <c r="C26" t="s">
        <v>219</v>
      </c>
      <c r="D26" t="s">
        <v>220</v>
      </c>
      <c r="E26" t="s">
        <v>211</v>
      </c>
      <c r="F26" t="s">
        <v>22</v>
      </c>
      <c r="G26" t="s">
        <v>221</v>
      </c>
      <c r="H26">
        <v>-37</v>
      </c>
      <c r="I26" t="s">
        <v>152</v>
      </c>
      <c r="J26" t="s">
        <v>222</v>
      </c>
      <c r="K26">
        <v>338</v>
      </c>
      <c r="L26" t="s">
        <v>223</v>
      </c>
      <c r="M26" t="s">
        <v>224</v>
      </c>
      <c r="N26" t="s">
        <v>28</v>
      </c>
      <c r="O26" t="s">
        <v>29</v>
      </c>
      <c r="P26" t="s">
        <v>30</v>
      </c>
    </row>
    <row r="27" spans="1:16">
      <c r="A27" t="s">
        <v>225</v>
      </c>
      <c r="B27" t="s">
        <v>226</v>
      </c>
      <c r="C27" t="s">
        <v>102</v>
      </c>
      <c r="D27" t="s">
        <v>103</v>
      </c>
      <c r="E27" t="s">
        <v>21</v>
      </c>
      <c r="F27" t="s">
        <v>22</v>
      </c>
      <c r="G27" t="s">
        <v>227</v>
      </c>
      <c r="H27">
        <v>-106</v>
      </c>
      <c r="I27" t="s">
        <v>228</v>
      </c>
      <c r="J27" t="s">
        <v>229</v>
      </c>
      <c r="K27">
        <v>-40</v>
      </c>
      <c r="L27" t="s">
        <v>230</v>
      </c>
      <c r="M27" t="s">
        <v>59</v>
      </c>
      <c r="N27" t="s">
        <v>28</v>
      </c>
      <c r="O27" t="s">
        <v>28</v>
      </c>
      <c r="P27" t="s">
        <v>40</v>
      </c>
    </row>
    <row r="28" spans="1:16">
      <c r="A28" t="s">
        <v>231</v>
      </c>
      <c r="B28" t="s">
        <v>232</v>
      </c>
      <c r="C28" t="s">
        <v>233</v>
      </c>
      <c r="D28" t="s">
        <v>234</v>
      </c>
      <c r="E28" t="s">
        <v>211</v>
      </c>
      <c r="F28" t="s">
        <v>22</v>
      </c>
      <c r="G28" t="s">
        <v>235</v>
      </c>
      <c r="H28">
        <v>-232</v>
      </c>
      <c r="I28" t="s">
        <v>24</v>
      </c>
      <c r="J28" t="s">
        <v>236</v>
      </c>
      <c r="K28">
        <v>-343</v>
      </c>
      <c r="L28" t="s">
        <v>237</v>
      </c>
      <c r="M28" t="s">
        <v>71</v>
      </c>
      <c r="N28" t="s">
        <v>28</v>
      </c>
      <c r="O28" t="s">
        <v>28</v>
      </c>
      <c r="P28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4224-0187-4543-A85A-D15930F0D413}">
  <dimension ref="A3:M44"/>
  <sheetViews>
    <sheetView showGridLines="0" tabSelected="1" zoomScale="120" zoomScaleNormal="120" workbookViewId="0">
      <selection activeCell="H9" sqref="H9"/>
    </sheetView>
  </sheetViews>
  <sheetFormatPr defaultRowHeight="15.75"/>
  <cols>
    <col min="1" max="1" width="18.5" bestFit="1" customWidth="1"/>
    <col min="2" max="2" width="16.375" style="7" bestFit="1" customWidth="1"/>
    <col min="3" max="3" width="15.75" style="7" bestFit="1" customWidth="1"/>
    <col min="4" max="4" width="20.375" style="7" bestFit="1" customWidth="1"/>
    <col min="5" max="5" width="10.125" style="7" bestFit="1" customWidth="1"/>
    <col min="6" max="6" width="18.875" bestFit="1" customWidth="1"/>
    <col min="7" max="8" width="15.375" bestFit="1" customWidth="1"/>
    <col min="9" max="9" width="19.875" bestFit="1" customWidth="1"/>
    <col min="10" max="10" width="15" bestFit="1" customWidth="1"/>
    <col min="11" max="11" width="10.25" bestFit="1" customWidth="1"/>
    <col min="12" max="15" width="10.625" bestFit="1" customWidth="1"/>
    <col min="16" max="16" width="9.875" bestFit="1" customWidth="1"/>
  </cols>
  <sheetData>
    <row r="3" spans="1:13">
      <c r="A3" s="16" t="s">
        <v>238</v>
      </c>
      <c r="B3" s="17" t="s">
        <v>239</v>
      </c>
      <c r="C3" s="17"/>
      <c r="D3" s="17"/>
      <c r="E3" s="17"/>
      <c r="H3" s="16" t="s">
        <v>238</v>
      </c>
      <c r="I3" s="20" t="s">
        <v>240</v>
      </c>
      <c r="J3" s="17"/>
      <c r="K3" s="17"/>
      <c r="L3" s="17"/>
      <c r="M3" s="17"/>
    </row>
    <row r="4" spans="1:13">
      <c r="A4" s="16" t="s">
        <v>241</v>
      </c>
      <c r="B4" s="6" t="s">
        <v>28</v>
      </c>
      <c r="C4" s="11" t="s">
        <v>165</v>
      </c>
      <c r="D4" s="13" t="s">
        <v>29</v>
      </c>
      <c r="E4" s="17" t="s">
        <v>242</v>
      </c>
      <c r="H4" s="16" t="s">
        <v>241</v>
      </c>
      <c r="I4" s="15" t="s">
        <v>28</v>
      </c>
      <c r="J4" s="12" t="s">
        <v>165</v>
      </c>
      <c r="K4" s="22" t="s">
        <v>29</v>
      </c>
      <c r="L4" s="21" t="s">
        <v>60</v>
      </c>
      <c r="M4" s="17" t="s">
        <v>242</v>
      </c>
    </row>
    <row r="5" spans="1:13">
      <c r="A5" s="8" t="s">
        <v>22</v>
      </c>
      <c r="B5" s="24">
        <v>25</v>
      </c>
      <c r="C5" s="24">
        <v>12</v>
      </c>
      <c r="D5" s="24">
        <v>5</v>
      </c>
      <c r="E5" s="24">
        <v>42</v>
      </c>
      <c r="H5" s="8" t="s">
        <v>22</v>
      </c>
      <c r="I5" s="9">
        <v>19</v>
      </c>
      <c r="J5" s="9">
        <v>3</v>
      </c>
      <c r="K5" s="9">
        <v>15</v>
      </c>
      <c r="L5" s="9">
        <v>5</v>
      </c>
      <c r="M5" s="9">
        <v>42</v>
      </c>
    </row>
    <row r="6" spans="1:13">
      <c r="A6" s="19" t="s">
        <v>242</v>
      </c>
      <c r="B6" s="25">
        <v>25</v>
      </c>
      <c r="C6" s="26">
        <v>12</v>
      </c>
      <c r="D6" s="27">
        <v>5</v>
      </c>
      <c r="E6" s="28">
        <v>42</v>
      </c>
      <c r="H6" s="19" t="s">
        <v>242</v>
      </c>
      <c r="I6" s="10">
        <v>19</v>
      </c>
      <c r="J6" s="12">
        <v>3</v>
      </c>
      <c r="K6" s="22">
        <v>15</v>
      </c>
      <c r="L6" s="14">
        <v>5</v>
      </c>
      <c r="M6" s="18">
        <v>42</v>
      </c>
    </row>
    <row r="7" spans="1:13">
      <c r="B7"/>
      <c r="C7"/>
      <c r="D7"/>
      <c r="E7"/>
    </row>
    <row r="8" spans="1:13">
      <c r="B8"/>
      <c r="C8"/>
      <c r="D8"/>
      <c r="E8"/>
    </row>
    <row r="9" spans="1:13">
      <c r="B9"/>
      <c r="C9"/>
      <c r="D9"/>
      <c r="E9"/>
    </row>
    <row r="10" spans="1:13">
      <c r="B10"/>
      <c r="C10"/>
      <c r="D10"/>
      <c r="E10"/>
    </row>
    <row r="11" spans="1:13">
      <c r="B11"/>
      <c r="C11"/>
      <c r="D11"/>
      <c r="E11"/>
    </row>
    <row r="12" spans="1:13">
      <c r="B12"/>
      <c r="C12"/>
      <c r="D12"/>
      <c r="E12"/>
    </row>
    <row r="13" spans="1:13">
      <c r="B13"/>
      <c r="C13"/>
      <c r="D13"/>
      <c r="E13"/>
    </row>
    <row r="14" spans="1:13">
      <c r="B14"/>
      <c r="C14"/>
      <c r="D14"/>
      <c r="E14"/>
    </row>
    <row r="15" spans="1:13">
      <c r="B15"/>
      <c r="C15"/>
      <c r="D15"/>
      <c r="E15"/>
    </row>
    <row r="16" spans="1:13">
      <c r="B16"/>
      <c r="C16"/>
      <c r="D16"/>
      <c r="E16"/>
    </row>
    <row r="17" spans="2:5">
      <c r="B17"/>
      <c r="C17"/>
      <c r="D17"/>
      <c r="E17"/>
    </row>
    <row r="18" spans="2:5">
      <c r="B18"/>
      <c r="C18"/>
      <c r="D18"/>
      <c r="E18"/>
    </row>
    <row r="19" spans="2:5">
      <c r="B19"/>
      <c r="C19"/>
      <c r="D19"/>
      <c r="E19"/>
    </row>
    <row r="20" spans="2:5">
      <c r="B20"/>
      <c r="C20"/>
      <c r="D20"/>
      <c r="E20"/>
    </row>
    <row r="21" spans="2:5">
      <c r="B21"/>
      <c r="C21"/>
      <c r="D21"/>
      <c r="E21"/>
    </row>
    <row r="22" spans="2:5">
      <c r="B22"/>
      <c r="C22"/>
      <c r="D22"/>
      <c r="E22"/>
    </row>
    <row r="23" spans="2:5">
      <c r="B23"/>
      <c r="C23"/>
      <c r="D23"/>
      <c r="E23"/>
    </row>
    <row r="24" spans="2:5">
      <c r="B24"/>
      <c r="C24"/>
      <c r="D24"/>
      <c r="E24"/>
    </row>
    <row r="25" spans="2:5">
      <c r="B25"/>
      <c r="C25"/>
      <c r="D25"/>
      <c r="E25"/>
    </row>
    <row r="26" spans="2:5">
      <c r="B26"/>
      <c r="C26"/>
      <c r="D26"/>
      <c r="E26"/>
    </row>
    <row r="27" spans="2:5">
      <c r="B27"/>
      <c r="C27"/>
      <c r="D27"/>
      <c r="E27"/>
    </row>
    <row r="28" spans="2:5">
      <c r="B28"/>
      <c r="C28"/>
      <c r="D28"/>
      <c r="E28"/>
    </row>
    <row r="29" spans="2:5">
      <c r="B29"/>
      <c r="C29"/>
      <c r="D29"/>
      <c r="E29"/>
    </row>
    <row r="30" spans="2:5">
      <c r="B30"/>
      <c r="C30"/>
      <c r="D30"/>
      <c r="E30"/>
    </row>
    <row r="31" spans="2:5">
      <c r="B31"/>
      <c r="C31"/>
      <c r="D31"/>
      <c r="E31"/>
    </row>
    <row r="32" spans="2:5">
      <c r="B32"/>
      <c r="C32"/>
      <c r="D32"/>
      <c r="E32"/>
    </row>
    <row r="33" spans="2:5">
      <c r="B33"/>
      <c r="C33"/>
      <c r="D33"/>
      <c r="E33"/>
    </row>
    <row r="34" spans="2:5">
      <c r="B34"/>
      <c r="C34"/>
      <c r="D34"/>
      <c r="E34"/>
    </row>
    <row r="35" spans="2:5">
      <c r="B35"/>
      <c r="C35"/>
      <c r="D35"/>
      <c r="E35"/>
    </row>
    <row r="36" spans="2:5">
      <c r="B36"/>
      <c r="C36"/>
      <c r="D36"/>
      <c r="E36"/>
    </row>
    <row r="37" spans="2:5">
      <c r="B37"/>
      <c r="C37"/>
      <c r="D37"/>
      <c r="E37"/>
    </row>
    <row r="38" spans="2:5">
      <c r="B38"/>
      <c r="C38"/>
      <c r="D38"/>
      <c r="E38"/>
    </row>
    <row r="39" spans="2:5">
      <c r="B39"/>
      <c r="C39"/>
      <c r="D39"/>
      <c r="E39"/>
    </row>
    <row r="40" spans="2:5">
      <c r="B40"/>
      <c r="C40"/>
      <c r="D40"/>
      <c r="E40"/>
    </row>
    <row r="41" spans="2:5">
      <c r="B41"/>
      <c r="C41"/>
      <c r="D41"/>
      <c r="E41"/>
    </row>
    <row r="42" spans="2:5">
      <c r="B42"/>
      <c r="C42"/>
      <c r="D42"/>
      <c r="E42"/>
    </row>
    <row r="43" spans="2:5">
      <c r="B43"/>
      <c r="C43"/>
      <c r="D43"/>
      <c r="E43"/>
    </row>
    <row r="44" spans="2:5">
      <c r="B44"/>
      <c r="C44"/>
      <c r="D44"/>
      <c r="E4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opLeftCell="C1" workbookViewId="0">
      <selection activeCell="O6" sqref="O6"/>
    </sheetView>
  </sheetViews>
  <sheetFormatPr defaultRowHeight="15.75"/>
  <cols>
    <col min="1" max="1" width="11.125" bestFit="1" customWidth="1"/>
    <col min="2" max="2" width="57.625" bestFit="1" customWidth="1"/>
    <col min="3" max="3" width="37.25" bestFit="1" customWidth="1"/>
    <col min="4" max="4" width="9.125" bestFit="1" customWidth="1"/>
    <col min="5" max="5" width="14.75" style="1" customWidth="1"/>
    <col min="6" max="6" width="16.75" style="1" bestFit="1" customWidth="1"/>
    <col min="7" max="7" width="11.375" bestFit="1" customWidth="1"/>
    <col min="8" max="8" width="15.875" bestFit="1" customWidth="1"/>
    <col min="9" max="9" width="15.125" bestFit="1" customWidth="1"/>
    <col min="10" max="10" width="12.125" bestFit="1" customWidth="1"/>
    <col min="11" max="11" width="18.75" bestFit="1" customWidth="1"/>
    <col min="12" max="12" width="11.75" bestFit="1" customWidth="1"/>
    <col min="13" max="13" width="13.875" bestFit="1" customWidth="1"/>
    <col min="14" max="14" width="13.875" customWidth="1"/>
    <col min="15" max="15" width="20.375" bestFit="1" customWidth="1"/>
    <col min="16" max="16" width="9.875" bestFit="1" customWidth="1"/>
  </cols>
  <sheetData>
    <row r="1" spans="1:16">
      <c r="A1" t="s">
        <v>1</v>
      </c>
      <c r="B1" t="s">
        <v>2</v>
      </c>
      <c r="C1" t="s">
        <v>3</v>
      </c>
      <c r="D1" t="s">
        <v>4</v>
      </c>
      <c r="E1" s="2" t="s">
        <v>5</v>
      </c>
      <c r="F1" s="1" t="s">
        <v>6</v>
      </c>
      <c r="G1" s="4" t="s">
        <v>7</v>
      </c>
      <c r="H1" t="s">
        <v>8</v>
      </c>
      <c r="I1" s="5" t="s">
        <v>9</v>
      </c>
      <c r="J1" s="5" t="s">
        <v>10</v>
      </c>
      <c r="K1" t="s">
        <v>11</v>
      </c>
      <c r="L1" t="s">
        <v>12</v>
      </c>
      <c r="M1" t="s">
        <v>13</v>
      </c>
      <c r="N1" s="3" t="s">
        <v>14</v>
      </c>
      <c r="O1" s="5" t="s">
        <v>15</v>
      </c>
      <c r="P1" t="s">
        <v>16</v>
      </c>
    </row>
    <row r="2" spans="1:16">
      <c r="A2" t="s">
        <v>243</v>
      </c>
      <c r="B2" t="s">
        <v>244</v>
      </c>
      <c r="C2" t="s">
        <v>245</v>
      </c>
      <c r="D2" t="s">
        <v>246</v>
      </c>
      <c r="E2" s="1">
        <v>46252.999305555553</v>
      </c>
      <c r="F2" s="1" t="str">
        <f>ROUNDUP(DAY(E2)/7,0)&amp;"ª Semana - "&amp;TEXT(E2,"mmmm")</f>
        <v>3ª Semana - agosto</v>
      </c>
      <c r="G2" t="s">
        <v>247</v>
      </c>
      <c r="H2">
        <v>29</v>
      </c>
      <c r="I2" t="s">
        <v>152</v>
      </c>
      <c r="J2" t="s">
        <v>248</v>
      </c>
      <c r="K2">
        <v>370</v>
      </c>
      <c r="L2" t="s">
        <v>249</v>
      </c>
      <c r="M2" t="s">
        <v>192</v>
      </c>
      <c r="N2" t="str">
        <f>IF(G2&lt;=E2,"Pontual",IF(G2-E2&lt;=TIME(0,30,0),"Atraso até 30 min",IF(G2-E2&lt;=TIME(1,0,0),"Atraso até 1 hora","Atraso acima de 1 hora")))</f>
        <v>Atraso até 30 min</v>
      </c>
      <c r="O2" t="str">
        <f>IF(J2&lt;=I2,"Pontual",IF(J2-I2&lt;=TIME(0,30,0),"Atraso até 30 min",IF(J2-I2&lt;=TIME(1,0,0),"Atraso até 1 hora","Atraso acima de 1 hora")))</f>
        <v>Atraso acima de 1 hora</v>
      </c>
      <c r="P2" t="s">
        <v>30</v>
      </c>
    </row>
    <row r="3" spans="1:16">
      <c r="A3" t="s">
        <v>250</v>
      </c>
      <c r="B3" t="s">
        <v>251</v>
      </c>
      <c r="C3" t="s">
        <v>252</v>
      </c>
      <c r="D3" t="s">
        <v>253</v>
      </c>
      <c r="E3" s="1" t="s">
        <v>54</v>
      </c>
      <c r="F3" s="1" t="str">
        <f t="shared" ref="F3:F43" si="0">ROUNDUP(DAY(E3)/7,0)&amp;"ª Semana - "&amp;TEXT(E3,"mmmm")</f>
        <v>3ª Semana - agosto</v>
      </c>
      <c r="G3" t="s">
        <v>254</v>
      </c>
      <c r="H3">
        <v>66</v>
      </c>
      <c r="I3" t="s">
        <v>255</v>
      </c>
      <c r="J3" t="s">
        <v>256</v>
      </c>
      <c r="K3">
        <v>-464</v>
      </c>
      <c r="L3" t="s">
        <v>257</v>
      </c>
      <c r="M3" t="s">
        <v>39</v>
      </c>
      <c r="N3" t="str">
        <f t="shared" ref="N3:N43" si="1">IF(G3&lt;=E3,"Pontual",IF(G3-E3&lt;=TIME(0,30,0),"Atraso até 30 min",IF(G3-E3&lt;=TIME(1,0,0),"Atraso até 1 hora","Atraso acima de 1 hora")))</f>
        <v>Atraso acima de 1 hora</v>
      </c>
      <c r="O3" t="str">
        <f t="shared" ref="O3:O43" si="2">IF(J3&lt;=I3,"Pontual",IF(J3-I3&lt;=TIME(0,30,0),"Atraso até 30 min",IF(J3-I3&lt;=TIME(1,0,0),"Atraso até 1 hora","Atraso acima de 1 hora")))</f>
        <v>Pontual</v>
      </c>
      <c r="P3" t="s">
        <v>40</v>
      </c>
    </row>
    <row r="4" spans="1:16">
      <c r="A4" t="s">
        <v>147</v>
      </c>
      <c r="B4" t="s">
        <v>148</v>
      </c>
      <c r="C4" t="s">
        <v>149</v>
      </c>
      <c r="D4" t="s">
        <v>150</v>
      </c>
      <c r="E4" s="1" t="s">
        <v>54</v>
      </c>
      <c r="F4" s="1" t="str">
        <f t="shared" si="0"/>
        <v>3ª Semana - agosto</v>
      </c>
      <c r="G4" t="s">
        <v>151</v>
      </c>
      <c r="H4">
        <v>-34</v>
      </c>
      <c r="I4" t="s">
        <v>152</v>
      </c>
      <c r="J4" t="s">
        <v>153</v>
      </c>
      <c r="K4">
        <v>-348</v>
      </c>
      <c r="L4" t="s">
        <v>154</v>
      </c>
      <c r="M4" t="s">
        <v>155</v>
      </c>
      <c r="N4" t="str">
        <f t="shared" si="1"/>
        <v>Pontual</v>
      </c>
      <c r="O4" t="str">
        <f t="shared" si="2"/>
        <v>Pontual</v>
      </c>
      <c r="P4" t="s">
        <v>40</v>
      </c>
    </row>
    <row r="5" spans="1:16">
      <c r="A5" t="s">
        <v>258</v>
      </c>
      <c r="B5" t="s">
        <v>259</v>
      </c>
      <c r="C5" t="s">
        <v>260</v>
      </c>
      <c r="D5" t="s">
        <v>261</v>
      </c>
      <c r="E5" s="1" t="s">
        <v>54</v>
      </c>
      <c r="F5" s="1" t="str">
        <f t="shared" si="0"/>
        <v>3ª Semana - agosto</v>
      </c>
      <c r="G5" t="s">
        <v>262</v>
      </c>
      <c r="H5">
        <v>17</v>
      </c>
      <c r="I5" t="s">
        <v>263</v>
      </c>
      <c r="J5" t="s">
        <v>264</v>
      </c>
      <c r="K5">
        <v>84</v>
      </c>
      <c r="L5" t="s">
        <v>265</v>
      </c>
      <c r="M5" t="s">
        <v>39</v>
      </c>
      <c r="N5" t="str">
        <f t="shared" si="1"/>
        <v>Atraso até 30 min</v>
      </c>
      <c r="O5" t="str">
        <f t="shared" si="2"/>
        <v>Atraso acima de 1 hora</v>
      </c>
      <c r="P5" t="s">
        <v>30</v>
      </c>
    </row>
    <row r="6" spans="1:16">
      <c r="A6" t="s">
        <v>266</v>
      </c>
      <c r="B6" t="s">
        <v>251</v>
      </c>
      <c r="C6" t="s">
        <v>267</v>
      </c>
      <c r="D6" t="s">
        <v>268</v>
      </c>
      <c r="E6" s="1" t="s">
        <v>54</v>
      </c>
      <c r="F6" s="1" t="str">
        <f t="shared" si="0"/>
        <v>3ª Semana - agosto</v>
      </c>
      <c r="G6" t="s">
        <v>262</v>
      </c>
      <c r="H6">
        <v>17</v>
      </c>
      <c r="I6" t="s">
        <v>255</v>
      </c>
      <c r="J6" t="s">
        <v>269</v>
      </c>
      <c r="K6">
        <v>29</v>
      </c>
      <c r="L6" t="s">
        <v>270</v>
      </c>
      <c r="M6" t="s">
        <v>271</v>
      </c>
      <c r="N6" t="str">
        <f t="shared" si="1"/>
        <v>Atraso até 30 min</v>
      </c>
      <c r="O6" t="str">
        <f t="shared" si="2"/>
        <v>Atraso até 30 min</v>
      </c>
      <c r="P6" t="s">
        <v>166</v>
      </c>
    </row>
    <row r="7" spans="1:16">
      <c r="A7" t="s">
        <v>272</v>
      </c>
      <c r="B7" t="s">
        <v>273</v>
      </c>
      <c r="C7" t="s">
        <v>274</v>
      </c>
      <c r="D7" t="s">
        <v>275</v>
      </c>
      <c r="E7" s="1" t="s">
        <v>54</v>
      </c>
      <c r="F7" s="1" t="str">
        <f t="shared" si="0"/>
        <v>3ª Semana - agosto</v>
      </c>
      <c r="G7" t="s">
        <v>276</v>
      </c>
      <c r="H7">
        <v>25</v>
      </c>
      <c r="I7" t="s">
        <v>172</v>
      </c>
      <c r="J7" t="s">
        <v>277</v>
      </c>
      <c r="K7">
        <v>7</v>
      </c>
      <c r="L7" t="s">
        <v>278</v>
      </c>
      <c r="M7" t="s">
        <v>279</v>
      </c>
      <c r="N7" t="str">
        <f t="shared" si="1"/>
        <v>Atraso até 30 min</v>
      </c>
      <c r="O7" t="str">
        <f t="shared" si="2"/>
        <v>Atraso até 30 min</v>
      </c>
      <c r="P7" t="s">
        <v>40</v>
      </c>
    </row>
    <row r="8" spans="1:16">
      <c r="A8" t="s">
        <v>50</v>
      </c>
      <c r="B8" t="s">
        <v>51</v>
      </c>
      <c r="C8" t="s">
        <v>52</v>
      </c>
      <c r="D8" t="s">
        <v>53</v>
      </c>
      <c r="E8" s="1" t="s">
        <v>54</v>
      </c>
      <c r="F8" s="1" t="str">
        <f t="shared" si="0"/>
        <v>3ª Semana - agosto</v>
      </c>
      <c r="G8" t="s">
        <v>55</v>
      </c>
      <c r="H8">
        <v>-6</v>
      </c>
      <c r="I8" t="s">
        <v>56</v>
      </c>
      <c r="J8" t="s">
        <v>57</v>
      </c>
      <c r="K8">
        <v>54</v>
      </c>
      <c r="L8" t="s">
        <v>58</v>
      </c>
      <c r="M8" t="s">
        <v>59</v>
      </c>
      <c r="N8" t="str">
        <f t="shared" si="1"/>
        <v>Pontual</v>
      </c>
      <c r="O8" t="str">
        <f t="shared" si="2"/>
        <v>Atraso até 1 hora</v>
      </c>
      <c r="P8" t="s">
        <v>61</v>
      </c>
    </row>
    <row r="9" spans="1:16">
      <c r="A9" t="s">
        <v>176</v>
      </c>
      <c r="B9" t="s">
        <v>177</v>
      </c>
      <c r="C9" t="s">
        <v>178</v>
      </c>
      <c r="D9" t="s">
        <v>179</v>
      </c>
      <c r="E9" s="1" t="s">
        <v>54</v>
      </c>
      <c r="F9" s="1" t="str">
        <f t="shared" si="0"/>
        <v>3ª Semana - agosto</v>
      </c>
      <c r="G9" t="s">
        <v>180</v>
      </c>
      <c r="H9">
        <v>-80</v>
      </c>
      <c r="I9" t="s">
        <v>181</v>
      </c>
      <c r="J9" t="s">
        <v>182</v>
      </c>
      <c r="K9">
        <v>-214</v>
      </c>
      <c r="L9" t="s">
        <v>183</v>
      </c>
      <c r="M9" t="s">
        <v>99</v>
      </c>
      <c r="N9" t="str">
        <f t="shared" si="1"/>
        <v>Pontual</v>
      </c>
      <c r="O9" t="str">
        <f t="shared" si="2"/>
        <v>Pontual</v>
      </c>
      <c r="P9" t="s">
        <v>40</v>
      </c>
    </row>
    <row r="10" spans="1:16">
      <c r="A10" t="s">
        <v>81</v>
      </c>
      <c r="B10" t="s">
        <v>82</v>
      </c>
      <c r="C10" t="s">
        <v>83</v>
      </c>
      <c r="D10" t="s">
        <v>84</v>
      </c>
      <c r="E10" s="1" t="s">
        <v>54</v>
      </c>
      <c r="F10" s="1" t="str">
        <f t="shared" si="0"/>
        <v>3ª Semana - agosto</v>
      </c>
      <c r="G10" t="s">
        <v>85</v>
      </c>
      <c r="H10">
        <v>-53</v>
      </c>
      <c r="I10" t="s">
        <v>86</v>
      </c>
      <c r="J10" t="s">
        <v>87</v>
      </c>
      <c r="K10">
        <v>-12</v>
      </c>
      <c r="L10" t="s">
        <v>88</v>
      </c>
      <c r="M10" t="s">
        <v>89</v>
      </c>
      <c r="N10" t="str">
        <f t="shared" si="1"/>
        <v>Pontual</v>
      </c>
      <c r="O10" t="str">
        <f t="shared" si="2"/>
        <v>Pontual</v>
      </c>
      <c r="P10" t="s">
        <v>40</v>
      </c>
    </row>
    <row r="11" spans="1:16">
      <c r="A11" t="s">
        <v>280</v>
      </c>
      <c r="B11" t="s">
        <v>281</v>
      </c>
      <c r="C11" t="s">
        <v>282</v>
      </c>
      <c r="D11" t="s">
        <v>283</v>
      </c>
      <c r="E11" s="1" t="s">
        <v>54</v>
      </c>
      <c r="F11" s="1" t="str">
        <f t="shared" si="0"/>
        <v>3ª Semana - agosto</v>
      </c>
      <c r="G11" t="s">
        <v>284</v>
      </c>
      <c r="H11">
        <v>14</v>
      </c>
      <c r="I11" t="s">
        <v>213</v>
      </c>
      <c r="J11" t="s">
        <v>285</v>
      </c>
      <c r="K11">
        <v>-143</v>
      </c>
      <c r="L11" t="s">
        <v>286</v>
      </c>
      <c r="M11" t="s">
        <v>216</v>
      </c>
      <c r="N11" t="str">
        <f t="shared" si="1"/>
        <v>Atraso até 30 min</v>
      </c>
      <c r="O11" t="str">
        <f t="shared" si="2"/>
        <v>Pontual</v>
      </c>
      <c r="P11" t="s">
        <v>40</v>
      </c>
    </row>
    <row r="12" spans="1:16">
      <c r="A12" t="s">
        <v>287</v>
      </c>
      <c r="B12" t="s">
        <v>288</v>
      </c>
      <c r="C12" t="s">
        <v>289</v>
      </c>
      <c r="D12" t="s">
        <v>290</v>
      </c>
      <c r="E12" s="1" t="s">
        <v>160</v>
      </c>
      <c r="F12" s="1" t="str">
        <f t="shared" si="0"/>
        <v>3ª Semana - agosto</v>
      </c>
      <c r="G12" t="s">
        <v>291</v>
      </c>
      <c r="H12">
        <v>17</v>
      </c>
      <c r="I12" t="s">
        <v>263</v>
      </c>
      <c r="J12" t="s">
        <v>292</v>
      </c>
      <c r="K12">
        <v>236</v>
      </c>
      <c r="L12" t="s">
        <v>293</v>
      </c>
      <c r="M12" t="s">
        <v>39</v>
      </c>
      <c r="N12" t="str">
        <f t="shared" si="1"/>
        <v>Atraso até 30 min</v>
      </c>
      <c r="O12" t="str">
        <f t="shared" si="2"/>
        <v>Atraso acima de 1 hora</v>
      </c>
      <c r="P12" t="s">
        <v>30</v>
      </c>
    </row>
    <row r="13" spans="1:16">
      <c r="A13" t="s">
        <v>156</v>
      </c>
      <c r="B13" t="s">
        <v>157</v>
      </c>
      <c r="C13" t="s">
        <v>158</v>
      </c>
      <c r="D13" t="s">
        <v>159</v>
      </c>
      <c r="E13" s="1" t="s">
        <v>160</v>
      </c>
      <c r="F13" s="1" t="str">
        <f t="shared" si="0"/>
        <v>3ª Semana - agosto</v>
      </c>
      <c r="G13" t="s">
        <v>161</v>
      </c>
      <c r="H13">
        <v>-1</v>
      </c>
      <c r="I13" t="s">
        <v>162</v>
      </c>
      <c r="J13" t="s">
        <v>163</v>
      </c>
      <c r="K13">
        <v>12</v>
      </c>
      <c r="L13" t="s">
        <v>164</v>
      </c>
      <c r="M13" t="s">
        <v>123</v>
      </c>
      <c r="N13" t="str">
        <f t="shared" si="1"/>
        <v>Pontual</v>
      </c>
      <c r="O13" t="str">
        <f t="shared" si="2"/>
        <v>Atraso até 30 min</v>
      </c>
      <c r="P13" t="s">
        <v>166</v>
      </c>
    </row>
    <row r="14" spans="1:16">
      <c r="A14" t="s">
        <v>294</v>
      </c>
      <c r="B14" t="s">
        <v>295</v>
      </c>
      <c r="C14" t="s">
        <v>296</v>
      </c>
      <c r="D14" t="s">
        <v>297</v>
      </c>
      <c r="E14" s="1" t="s">
        <v>35</v>
      </c>
      <c r="F14" s="1" t="str">
        <f t="shared" si="0"/>
        <v>3ª Semana - agosto</v>
      </c>
      <c r="G14" t="s">
        <v>298</v>
      </c>
      <c r="H14">
        <v>24</v>
      </c>
      <c r="I14" t="s">
        <v>162</v>
      </c>
      <c r="J14" t="s">
        <v>299</v>
      </c>
      <c r="K14">
        <v>-74</v>
      </c>
      <c r="L14" t="s">
        <v>300</v>
      </c>
      <c r="M14" t="s">
        <v>301</v>
      </c>
      <c r="N14" t="str">
        <f t="shared" si="1"/>
        <v>Atraso até 30 min</v>
      </c>
      <c r="O14" t="str">
        <f t="shared" si="2"/>
        <v>Pontual</v>
      </c>
      <c r="P14" t="s">
        <v>40</v>
      </c>
    </row>
    <row r="15" spans="1:16">
      <c r="A15" t="s">
        <v>167</v>
      </c>
      <c r="B15" t="s">
        <v>168</v>
      </c>
      <c r="C15" t="s">
        <v>169</v>
      </c>
      <c r="D15" t="s">
        <v>170</v>
      </c>
      <c r="E15" s="1" t="s">
        <v>35</v>
      </c>
      <c r="F15" s="1" t="str">
        <f t="shared" si="0"/>
        <v>3ª Semana - agosto</v>
      </c>
      <c r="G15" t="s">
        <v>171</v>
      </c>
      <c r="H15">
        <v>-26</v>
      </c>
      <c r="I15" t="s">
        <v>172</v>
      </c>
      <c r="J15" t="s">
        <v>173</v>
      </c>
      <c r="K15">
        <v>-86</v>
      </c>
      <c r="L15" t="s">
        <v>174</v>
      </c>
      <c r="M15" t="s">
        <v>175</v>
      </c>
      <c r="N15" t="str">
        <f t="shared" si="1"/>
        <v>Pontual</v>
      </c>
      <c r="O15" t="str">
        <f t="shared" si="2"/>
        <v>Pontual</v>
      </c>
      <c r="P15" t="s">
        <v>40</v>
      </c>
    </row>
    <row r="16" spans="1:16">
      <c r="A16" t="s">
        <v>302</v>
      </c>
      <c r="B16" t="s">
        <v>295</v>
      </c>
      <c r="C16" t="s">
        <v>303</v>
      </c>
      <c r="D16" t="s">
        <v>304</v>
      </c>
      <c r="E16" s="1" t="s">
        <v>35</v>
      </c>
      <c r="F16" s="1" t="str">
        <f t="shared" si="0"/>
        <v>3ª Semana - agosto</v>
      </c>
      <c r="G16" t="s">
        <v>305</v>
      </c>
      <c r="H16">
        <v>29</v>
      </c>
      <c r="I16" t="s">
        <v>162</v>
      </c>
      <c r="J16" t="s">
        <v>306</v>
      </c>
      <c r="K16">
        <v>-15</v>
      </c>
      <c r="L16" t="s">
        <v>307</v>
      </c>
      <c r="M16" t="s">
        <v>308</v>
      </c>
      <c r="N16" t="str">
        <f t="shared" si="1"/>
        <v>Atraso até 30 min</v>
      </c>
      <c r="O16" t="str">
        <f t="shared" si="2"/>
        <v>Pontual</v>
      </c>
      <c r="P16" t="s">
        <v>40</v>
      </c>
    </row>
    <row r="17" spans="1:16">
      <c r="A17" t="s">
        <v>31</v>
      </c>
      <c r="B17" t="s">
        <v>32</v>
      </c>
      <c r="C17" t="s">
        <v>33</v>
      </c>
      <c r="D17" t="s">
        <v>34</v>
      </c>
      <c r="E17" s="1" t="s">
        <v>35</v>
      </c>
      <c r="F17" s="1" t="str">
        <f t="shared" si="0"/>
        <v>3ª Semana - agosto</v>
      </c>
      <c r="G17" t="s">
        <v>35</v>
      </c>
      <c r="H17">
        <v>1</v>
      </c>
      <c r="I17" t="s">
        <v>36</v>
      </c>
      <c r="J17" t="s">
        <v>37</v>
      </c>
      <c r="K17">
        <v>-52</v>
      </c>
      <c r="L17" t="s">
        <v>38</v>
      </c>
      <c r="M17" t="s">
        <v>39</v>
      </c>
      <c r="N17" t="str">
        <f t="shared" si="1"/>
        <v>Pontual</v>
      </c>
      <c r="O17" t="str">
        <f t="shared" si="2"/>
        <v>Pontual</v>
      </c>
      <c r="P17" t="s">
        <v>40</v>
      </c>
    </row>
    <row r="18" spans="1:16">
      <c r="A18" t="s">
        <v>193</v>
      </c>
      <c r="B18" t="s">
        <v>194</v>
      </c>
      <c r="C18" t="s">
        <v>195</v>
      </c>
      <c r="D18" t="s">
        <v>196</v>
      </c>
      <c r="E18" s="1" t="s">
        <v>35</v>
      </c>
      <c r="F18" s="1" t="str">
        <f t="shared" si="0"/>
        <v>3ª Semana - agosto</v>
      </c>
      <c r="G18" t="s">
        <v>197</v>
      </c>
      <c r="H18">
        <v>-18</v>
      </c>
      <c r="I18" t="s">
        <v>86</v>
      </c>
      <c r="J18" t="s">
        <v>198</v>
      </c>
      <c r="K18">
        <v>271</v>
      </c>
      <c r="L18" t="s">
        <v>199</v>
      </c>
      <c r="M18" t="s">
        <v>192</v>
      </c>
      <c r="N18" t="str">
        <f t="shared" si="1"/>
        <v>Pontual</v>
      </c>
      <c r="O18" t="str">
        <f t="shared" si="2"/>
        <v>Atraso acima de 1 hora</v>
      </c>
      <c r="P18" t="s">
        <v>30</v>
      </c>
    </row>
    <row r="19" spans="1:16">
      <c r="A19" t="s">
        <v>309</v>
      </c>
      <c r="B19" t="s">
        <v>141</v>
      </c>
      <c r="C19" t="s">
        <v>74</v>
      </c>
      <c r="D19" t="s">
        <v>75</v>
      </c>
      <c r="E19" s="1" t="s">
        <v>35</v>
      </c>
      <c r="F19" s="1" t="str">
        <f t="shared" si="0"/>
        <v>3ª Semana - agosto</v>
      </c>
      <c r="G19" t="s">
        <v>310</v>
      </c>
      <c r="H19">
        <v>8</v>
      </c>
      <c r="I19" t="s">
        <v>47</v>
      </c>
      <c r="J19" t="s">
        <v>311</v>
      </c>
      <c r="K19">
        <v>41</v>
      </c>
      <c r="L19" t="s">
        <v>312</v>
      </c>
      <c r="M19" t="s">
        <v>313</v>
      </c>
      <c r="N19" t="str">
        <f t="shared" si="1"/>
        <v>Atraso até 30 min</v>
      </c>
      <c r="O19" t="str">
        <f t="shared" si="2"/>
        <v>Atraso até 1 hora</v>
      </c>
      <c r="P19" t="s">
        <v>61</v>
      </c>
    </row>
    <row r="20" spans="1:16">
      <c r="A20" t="s">
        <v>200</v>
      </c>
      <c r="B20" t="s">
        <v>201</v>
      </c>
      <c r="C20" t="s">
        <v>202</v>
      </c>
      <c r="D20" t="s">
        <v>203</v>
      </c>
      <c r="E20" s="1" t="s">
        <v>35</v>
      </c>
      <c r="F20" s="1" t="str">
        <f t="shared" si="0"/>
        <v>3ª Semana - agosto</v>
      </c>
      <c r="G20" t="s">
        <v>204</v>
      </c>
      <c r="H20">
        <v>-12</v>
      </c>
      <c r="I20" t="s">
        <v>24</v>
      </c>
      <c r="J20" t="s">
        <v>205</v>
      </c>
      <c r="K20">
        <v>-92</v>
      </c>
      <c r="L20" t="s">
        <v>206</v>
      </c>
      <c r="M20" t="s">
        <v>123</v>
      </c>
      <c r="N20" t="str">
        <f t="shared" si="1"/>
        <v>Pontual</v>
      </c>
      <c r="O20" t="str">
        <f t="shared" si="2"/>
        <v>Pontual</v>
      </c>
      <c r="P20" t="s">
        <v>40</v>
      </c>
    </row>
    <row r="21" spans="1:16">
      <c r="A21" t="s">
        <v>140</v>
      </c>
      <c r="B21" t="s">
        <v>141</v>
      </c>
      <c r="C21" t="s">
        <v>142</v>
      </c>
      <c r="D21" t="s">
        <v>143</v>
      </c>
      <c r="E21" s="1" t="s">
        <v>35</v>
      </c>
      <c r="F21" s="1" t="str">
        <f t="shared" si="0"/>
        <v>3ª Semana - agosto</v>
      </c>
      <c r="G21" t="s">
        <v>77</v>
      </c>
      <c r="H21">
        <v>-1256</v>
      </c>
      <c r="I21" t="s">
        <v>47</v>
      </c>
      <c r="J21" t="s">
        <v>144</v>
      </c>
      <c r="K21">
        <v>-985</v>
      </c>
      <c r="L21" t="s">
        <v>145</v>
      </c>
      <c r="M21" t="s">
        <v>146</v>
      </c>
      <c r="N21" t="str">
        <f t="shared" si="1"/>
        <v>Pontual</v>
      </c>
      <c r="O21" t="str">
        <f t="shared" si="2"/>
        <v>Pontual</v>
      </c>
      <c r="P21" t="s">
        <v>40</v>
      </c>
    </row>
    <row r="22" spans="1:16">
      <c r="A22" t="s">
        <v>184</v>
      </c>
      <c r="B22" t="s">
        <v>185</v>
      </c>
      <c r="C22" t="s">
        <v>186</v>
      </c>
      <c r="D22" t="s">
        <v>187</v>
      </c>
      <c r="E22" s="1" t="s">
        <v>21</v>
      </c>
      <c r="F22" s="1" t="str">
        <f t="shared" si="0"/>
        <v>3ª Semana - agosto</v>
      </c>
      <c r="G22" t="s">
        <v>188</v>
      </c>
      <c r="H22">
        <v>-33</v>
      </c>
      <c r="I22" t="s">
        <v>189</v>
      </c>
      <c r="J22" t="s">
        <v>190</v>
      </c>
      <c r="K22">
        <v>-275</v>
      </c>
      <c r="L22" t="s">
        <v>191</v>
      </c>
      <c r="M22" t="s">
        <v>192</v>
      </c>
      <c r="N22" t="str">
        <f t="shared" si="1"/>
        <v>Pontual</v>
      </c>
      <c r="O22" t="str">
        <f t="shared" si="2"/>
        <v>Pontual</v>
      </c>
      <c r="P22" t="s">
        <v>40</v>
      </c>
    </row>
    <row r="23" spans="1:16">
      <c r="A23" t="s">
        <v>17</v>
      </c>
      <c r="B23" t="s">
        <v>18</v>
      </c>
      <c r="C23" t="s">
        <v>19</v>
      </c>
      <c r="D23" t="s">
        <v>20</v>
      </c>
      <c r="E23" s="1" t="s">
        <v>21</v>
      </c>
      <c r="F23" s="1" t="str">
        <f t="shared" si="0"/>
        <v>3ª Semana - agosto</v>
      </c>
      <c r="G23" t="s">
        <v>23</v>
      </c>
      <c r="H23">
        <v>-26</v>
      </c>
      <c r="I23" t="s">
        <v>24</v>
      </c>
      <c r="J23" t="s">
        <v>25</v>
      </c>
      <c r="K23">
        <v>241</v>
      </c>
      <c r="L23" t="s">
        <v>26</v>
      </c>
      <c r="M23" t="s">
        <v>27</v>
      </c>
      <c r="N23" t="str">
        <f t="shared" si="1"/>
        <v>Pontual</v>
      </c>
      <c r="O23" t="str">
        <f t="shared" si="2"/>
        <v>Atraso acima de 1 hora</v>
      </c>
      <c r="P23" t="s">
        <v>30</v>
      </c>
    </row>
    <row r="24" spans="1:16">
      <c r="A24" t="s">
        <v>225</v>
      </c>
      <c r="B24" t="s">
        <v>226</v>
      </c>
      <c r="C24" t="s">
        <v>102</v>
      </c>
      <c r="D24" t="s">
        <v>103</v>
      </c>
      <c r="E24" s="1" t="s">
        <v>21</v>
      </c>
      <c r="F24" s="1" t="str">
        <f t="shared" si="0"/>
        <v>3ª Semana - agosto</v>
      </c>
      <c r="G24" t="s">
        <v>227</v>
      </c>
      <c r="H24">
        <v>-106</v>
      </c>
      <c r="I24" t="s">
        <v>228</v>
      </c>
      <c r="J24" t="s">
        <v>229</v>
      </c>
      <c r="K24">
        <v>-40</v>
      </c>
      <c r="L24" t="s">
        <v>230</v>
      </c>
      <c r="M24" t="s">
        <v>59</v>
      </c>
      <c r="N24" t="str">
        <f t="shared" si="1"/>
        <v>Pontual</v>
      </c>
      <c r="O24" t="str">
        <f t="shared" si="2"/>
        <v>Pontual</v>
      </c>
      <c r="P24" t="s">
        <v>40</v>
      </c>
    </row>
    <row r="25" spans="1:16">
      <c r="A25" t="s">
        <v>217</v>
      </c>
      <c r="B25" t="s">
        <v>218</v>
      </c>
      <c r="C25" t="s">
        <v>219</v>
      </c>
      <c r="D25" t="s">
        <v>220</v>
      </c>
      <c r="E25" s="1" t="s">
        <v>211</v>
      </c>
      <c r="F25" s="1" t="str">
        <f t="shared" si="0"/>
        <v>3ª Semana - agosto</v>
      </c>
      <c r="G25" t="s">
        <v>221</v>
      </c>
      <c r="H25">
        <v>-37</v>
      </c>
      <c r="I25" t="s">
        <v>152</v>
      </c>
      <c r="J25" t="s">
        <v>222</v>
      </c>
      <c r="K25">
        <v>338</v>
      </c>
      <c r="L25" t="s">
        <v>223</v>
      </c>
      <c r="M25" t="s">
        <v>224</v>
      </c>
      <c r="N25" t="str">
        <f t="shared" si="1"/>
        <v>Pontual</v>
      </c>
      <c r="O25" t="str">
        <f t="shared" si="2"/>
        <v>Atraso acima de 1 hora</v>
      </c>
      <c r="P25" t="s">
        <v>30</v>
      </c>
    </row>
    <row r="26" spans="1:16">
      <c r="A26" t="s">
        <v>231</v>
      </c>
      <c r="B26" t="s">
        <v>232</v>
      </c>
      <c r="C26" t="s">
        <v>233</v>
      </c>
      <c r="D26" t="s">
        <v>234</v>
      </c>
      <c r="E26" s="1" t="s">
        <v>211</v>
      </c>
      <c r="F26" s="1" t="str">
        <f t="shared" si="0"/>
        <v>3ª Semana - agosto</v>
      </c>
      <c r="G26" t="s">
        <v>235</v>
      </c>
      <c r="H26">
        <v>-232</v>
      </c>
      <c r="I26" t="s">
        <v>24</v>
      </c>
      <c r="J26" t="s">
        <v>236</v>
      </c>
      <c r="K26">
        <v>-343</v>
      </c>
      <c r="L26" t="s">
        <v>237</v>
      </c>
      <c r="M26" t="s">
        <v>71</v>
      </c>
      <c r="N26" t="str">
        <f t="shared" si="1"/>
        <v>Pontual</v>
      </c>
      <c r="O26" t="str">
        <f t="shared" si="2"/>
        <v>Pontual</v>
      </c>
      <c r="P26" t="s">
        <v>40</v>
      </c>
    </row>
    <row r="27" spans="1:16">
      <c r="A27" t="s">
        <v>207</v>
      </c>
      <c r="B27" t="s">
        <v>208</v>
      </c>
      <c r="C27" t="s">
        <v>209</v>
      </c>
      <c r="D27" t="s">
        <v>210</v>
      </c>
      <c r="E27" s="1" t="s">
        <v>211</v>
      </c>
      <c r="F27" s="1" t="str">
        <f t="shared" si="0"/>
        <v>3ª Semana - agosto</v>
      </c>
      <c r="G27" t="s">
        <v>212</v>
      </c>
      <c r="H27">
        <v>-18</v>
      </c>
      <c r="I27" t="s">
        <v>213</v>
      </c>
      <c r="J27" t="s">
        <v>214</v>
      </c>
      <c r="K27">
        <v>103</v>
      </c>
      <c r="L27" t="s">
        <v>215</v>
      </c>
      <c r="M27" t="s">
        <v>216</v>
      </c>
      <c r="N27" t="str">
        <f t="shared" si="1"/>
        <v>Pontual</v>
      </c>
      <c r="O27" t="str">
        <f t="shared" si="2"/>
        <v>Atraso acima de 1 hora</v>
      </c>
      <c r="P27" t="s">
        <v>30</v>
      </c>
    </row>
    <row r="28" spans="1:16">
      <c r="A28" t="s">
        <v>41</v>
      </c>
      <c r="B28" t="s">
        <v>42</v>
      </c>
      <c r="C28" t="s">
        <v>43</v>
      </c>
      <c r="D28" t="s">
        <v>44</v>
      </c>
      <c r="E28" s="1" t="s">
        <v>45</v>
      </c>
      <c r="F28" s="1" t="str">
        <f t="shared" si="0"/>
        <v>3ª Semana - agosto</v>
      </c>
      <c r="G28" t="s">
        <v>46</v>
      </c>
      <c r="H28">
        <v>-90</v>
      </c>
      <c r="I28" t="s">
        <v>47</v>
      </c>
      <c r="J28" t="s">
        <v>48</v>
      </c>
      <c r="K28">
        <v>-3</v>
      </c>
      <c r="L28" t="s">
        <v>49</v>
      </c>
      <c r="M28" t="s">
        <v>39</v>
      </c>
      <c r="N28" t="str">
        <f t="shared" si="1"/>
        <v>Pontual</v>
      </c>
      <c r="O28" t="str">
        <f t="shared" si="2"/>
        <v>Pontual</v>
      </c>
      <c r="P28" t="s">
        <v>40</v>
      </c>
    </row>
    <row r="29" spans="1:16">
      <c r="A29" t="s">
        <v>124</v>
      </c>
      <c r="B29" t="s">
        <v>125</v>
      </c>
      <c r="C29" t="s">
        <v>126</v>
      </c>
      <c r="D29" t="s">
        <v>127</v>
      </c>
      <c r="E29" s="1" t="s">
        <v>45</v>
      </c>
      <c r="F29" s="1" t="str">
        <f t="shared" si="0"/>
        <v>3ª Semana - agosto</v>
      </c>
      <c r="G29" t="s">
        <v>128</v>
      </c>
      <c r="H29">
        <v>-38</v>
      </c>
      <c r="I29" t="s">
        <v>24</v>
      </c>
      <c r="J29" t="s">
        <v>129</v>
      </c>
      <c r="K29">
        <v>56</v>
      </c>
      <c r="L29" t="s">
        <v>130</v>
      </c>
      <c r="M29" t="s">
        <v>59</v>
      </c>
      <c r="N29" t="str">
        <f t="shared" si="1"/>
        <v>Pontual</v>
      </c>
      <c r="O29" t="str">
        <f t="shared" si="2"/>
        <v>Atraso até 1 hora</v>
      </c>
      <c r="P29" t="s">
        <v>61</v>
      </c>
    </row>
    <row r="30" spans="1:16">
      <c r="A30" t="s">
        <v>116</v>
      </c>
      <c r="B30" t="s">
        <v>117</v>
      </c>
      <c r="C30" t="s">
        <v>118</v>
      </c>
      <c r="D30" t="s">
        <v>119</v>
      </c>
      <c r="E30" s="1" t="s">
        <v>45</v>
      </c>
      <c r="F30" s="1" t="str">
        <f t="shared" si="0"/>
        <v>3ª Semana - agosto</v>
      </c>
      <c r="G30" t="s">
        <v>120</v>
      </c>
      <c r="H30">
        <v>-18</v>
      </c>
      <c r="I30" t="s">
        <v>56</v>
      </c>
      <c r="J30" t="s">
        <v>121</v>
      </c>
      <c r="K30">
        <v>37</v>
      </c>
      <c r="L30" t="s">
        <v>122</v>
      </c>
      <c r="M30" t="s">
        <v>123</v>
      </c>
      <c r="N30" t="str">
        <f t="shared" si="1"/>
        <v>Pontual</v>
      </c>
      <c r="O30" t="str">
        <f t="shared" si="2"/>
        <v>Atraso até 1 hora</v>
      </c>
      <c r="P30" t="s">
        <v>61</v>
      </c>
    </row>
    <row r="31" spans="1:16">
      <c r="A31" t="s">
        <v>131</v>
      </c>
      <c r="B31" t="s">
        <v>132</v>
      </c>
      <c r="C31" t="s">
        <v>133</v>
      </c>
      <c r="D31" t="s">
        <v>134</v>
      </c>
      <c r="E31" s="1" t="s">
        <v>135</v>
      </c>
      <c r="F31" s="1" t="str">
        <f t="shared" si="0"/>
        <v>3ª Semana - agosto</v>
      </c>
      <c r="G31" t="s">
        <v>136</v>
      </c>
      <c r="H31">
        <v>-102</v>
      </c>
      <c r="I31" t="s">
        <v>137</v>
      </c>
      <c r="J31" t="s">
        <v>138</v>
      </c>
      <c r="K31">
        <v>-42</v>
      </c>
      <c r="L31" t="s">
        <v>139</v>
      </c>
      <c r="M31" t="s">
        <v>99</v>
      </c>
      <c r="N31" t="str">
        <f t="shared" si="1"/>
        <v>Pontual</v>
      </c>
      <c r="O31" t="str">
        <f t="shared" si="2"/>
        <v>Pontual</v>
      </c>
      <c r="P31" t="s">
        <v>40</v>
      </c>
    </row>
    <row r="32" spans="1:16">
      <c r="A32" t="s">
        <v>110</v>
      </c>
      <c r="B32" t="s">
        <v>111</v>
      </c>
      <c r="C32" t="s">
        <v>33</v>
      </c>
      <c r="D32" t="s">
        <v>34</v>
      </c>
      <c r="E32" s="1" t="s">
        <v>106</v>
      </c>
      <c r="F32" s="1" t="str">
        <f t="shared" si="0"/>
        <v>3ª Semana - agosto</v>
      </c>
      <c r="G32" t="s">
        <v>112</v>
      </c>
      <c r="H32">
        <v>-96</v>
      </c>
      <c r="I32" t="s">
        <v>113</v>
      </c>
      <c r="J32" t="s">
        <v>114</v>
      </c>
      <c r="K32">
        <v>-219</v>
      </c>
      <c r="L32" t="s">
        <v>115</v>
      </c>
      <c r="M32" t="s">
        <v>39</v>
      </c>
      <c r="N32" t="str">
        <f t="shared" si="1"/>
        <v>Pontual</v>
      </c>
      <c r="O32" t="str">
        <f t="shared" si="2"/>
        <v>Pontual</v>
      </c>
      <c r="P32" t="s">
        <v>40</v>
      </c>
    </row>
    <row r="33" spans="1:16">
      <c r="A33" t="s">
        <v>314</v>
      </c>
      <c r="B33" t="s">
        <v>315</v>
      </c>
      <c r="C33" t="s">
        <v>316</v>
      </c>
      <c r="D33" t="s">
        <v>317</v>
      </c>
      <c r="E33" s="1" t="s">
        <v>318</v>
      </c>
      <c r="F33" s="1" t="str">
        <f t="shared" si="0"/>
        <v>3ª Semana - agosto</v>
      </c>
      <c r="G33" t="s">
        <v>319</v>
      </c>
      <c r="H33">
        <v>74</v>
      </c>
      <c r="I33" t="s">
        <v>320</v>
      </c>
      <c r="J33" t="s">
        <v>321</v>
      </c>
      <c r="K33">
        <v>42</v>
      </c>
      <c r="L33" t="s">
        <v>322</v>
      </c>
      <c r="M33" t="s">
        <v>323</v>
      </c>
      <c r="N33" t="str">
        <f t="shared" si="1"/>
        <v>Atraso acima de 1 hora</v>
      </c>
      <c r="O33" t="str">
        <f t="shared" si="2"/>
        <v>Atraso até 1 hora</v>
      </c>
      <c r="P33" t="s">
        <v>61</v>
      </c>
    </row>
    <row r="34" spans="1:16">
      <c r="A34" t="s">
        <v>100</v>
      </c>
      <c r="B34" t="s">
        <v>101</v>
      </c>
      <c r="C34" t="s">
        <v>102</v>
      </c>
      <c r="D34" t="s">
        <v>103</v>
      </c>
      <c r="E34" s="1" t="s">
        <v>104</v>
      </c>
      <c r="F34" s="1" t="str">
        <f t="shared" si="0"/>
        <v>3ª Semana - agosto</v>
      </c>
      <c r="G34" t="s">
        <v>105</v>
      </c>
      <c r="H34">
        <v>-26</v>
      </c>
      <c r="I34" t="s">
        <v>106</v>
      </c>
      <c r="J34" t="s">
        <v>107</v>
      </c>
      <c r="K34">
        <v>-56</v>
      </c>
      <c r="L34" t="s">
        <v>108</v>
      </c>
      <c r="M34" t="s">
        <v>109</v>
      </c>
      <c r="N34" t="str">
        <f t="shared" si="1"/>
        <v>Pontual</v>
      </c>
      <c r="O34" t="str">
        <f t="shared" si="2"/>
        <v>Pontual</v>
      </c>
      <c r="P34" t="s">
        <v>40</v>
      </c>
    </row>
    <row r="35" spans="1:16">
      <c r="A35" t="s">
        <v>324</v>
      </c>
      <c r="B35" t="s">
        <v>325</v>
      </c>
      <c r="C35" t="s">
        <v>326</v>
      </c>
      <c r="D35" t="s">
        <v>327</v>
      </c>
      <c r="E35" s="1" t="s">
        <v>104</v>
      </c>
      <c r="F35" s="1" t="str">
        <f t="shared" si="0"/>
        <v>3ª Semana - agosto</v>
      </c>
      <c r="G35" t="s">
        <v>328</v>
      </c>
      <c r="H35">
        <v>27</v>
      </c>
      <c r="I35" t="s">
        <v>329</v>
      </c>
      <c r="J35" t="s">
        <v>330</v>
      </c>
      <c r="K35">
        <v>74</v>
      </c>
      <c r="L35" t="s">
        <v>331</v>
      </c>
      <c r="M35" t="s">
        <v>27</v>
      </c>
      <c r="N35" t="str">
        <f t="shared" si="1"/>
        <v>Atraso até 30 min</v>
      </c>
      <c r="O35" t="str">
        <f t="shared" si="2"/>
        <v>Atraso acima de 1 hora</v>
      </c>
      <c r="P35" t="s">
        <v>30</v>
      </c>
    </row>
    <row r="36" spans="1:16">
      <c r="A36" t="s">
        <v>332</v>
      </c>
      <c r="B36" t="s">
        <v>73</v>
      </c>
      <c r="C36" t="s">
        <v>142</v>
      </c>
      <c r="D36" t="s">
        <v>143</v>
      </c>
      <c r="E36" s="1" t="s">
        <v>76</v>
      </c>
      <c r="F36" s="1" t="str">
        <f t="shared" si="0"/>
        <v>3ª Semana - agosto</v>
      </c>
      <c r="G36" t="s">
        <v>333</v>
      </c>
      <c r="H36">
        <v>959</v>
      </c>
      <c r="I36" t="s">
        <v>78</v>
      </c>
      <c r="J36" t="s">
        <v>334</v>
      </c>
      <c r="K36">
        <v>985</v>
      </c>
      <c r="L36" t="s">
        <v>335</v>
      </c>
      <c r="M36" t="s">
        <v>175</v>
      </c>
      <c r="N36" t="str">
        <f t="shared" si="1"/>
        <v>Atraso acima de 1 hora</v>
      </c>
      <c r="O36" t="str">
        <f t="shared" si="2"/>
        <v>Atraso acima de 1 hora</v>
      </c>
      <c r="P36" t="s">
        <v>30</v>
      </c>
    </row>
    <row r="37" spans="1:16">
      <c r="A37" t="s">
        <v>72</v>
      </c>
      <c r="B37" t="s">
        <v>73</v>
      </c>
      <c r="C37" t="s">
        <v>74</v>
      </c>
      <c r="D37" t="s">
        <v>75</v>
      </c>
      <c r="E37" s="1" t="s">
        <v>76</v>
      </c>
      <c r="F37" s="1" t="str">
        <f t="shared" si="0"/>
        <v>3ª Semana - agosto</v>
      </c>
      <c r="G37" t="s">
        <v>77</v>
      </c>
      <c r="H37">
        <v>-56</v>
      </c>
      <c r="I37" t="s">
        <v>78</v>
      </c>
      <c r="J37" t="s">
        <v>79</v>
      </c>
      <c r="K37">
        <v>958</v>
      </c>
      <c r="L37" t="s">
        <v>80</v>
      </c>
      <c r="M37" t="s">
        <v>27</v>
      </c>
      <c r="N37" t="str">
        <f t="shared" si="1"/>
        <v>Pontual</v>
      </c>
      <c r="O37" t="str">
        <f t="shared" si="2"/>
        <v>Atraso acima de 1 hora</v>
      </c>
      <c r="P37" t="s">
        <v>30</v>
      </c>
    </row>
    <row r="38" spans="1:16">
      <c r="A38" t="s">
        <v>90</v>
      </c>
      <c r="B38" t="s">
        <v>91</v>
      </c>
      <c r="C38" t="s">
        <v>92</v>
      </c>
      <c r="D38" t="s">
        <v>93</v>
      </c>
      <c r="E38" s="1" t="s">
        <v>94</v>
      </c>
      <c r="F38" s="1" t="str">
        <f t="shared" si="0"/>
        <v>3ª Semana - agosto</v>
      </c>
      <c r="G38" t="s">
        <v>95</v>
      </c>
      <c r="H38">
        <v>-37</v>
      </c>
      <c r="I38" t="s">
        <v>96</v>
      </c>
      <c r="J38" t="s">
        <v>97</v>
      </c>
      <c r="K38">
        <v>-41</v>
      </c>
      <c r="L38" t="s">
        <v>98</v>
      </c>
      <c r="M38" t="s">
        <v>99</v>
      </c>
      <c r="N38" t="str">
        <f t="shared" si="1"/>
        <v>Pontual</v>
      </c>
      <c r="O38" t="str">
        <f t="shared" si="2"/>
        <v>Pontual</v>
      </c>
      <c r="P38" t="s">
        <v>40</v>
      </c>
    </row>
    <row r="39" spans="1:16">
      <c r="A39" t="s">
        <v>336</v>
      </c>
      <c r="B39" t="s">
        <v>337</v>
      </c>
      <c r="C39" t="s">
        <v>149</v>
      </c>
      <c r="D39" t="s">
        <v>150</v>
      </c>
      <c r="E39" s="1" t="s">
        <v>94</v>
      </c>
      <c r="F39" s="1" t="str">
        <f t="shared" si="0"/>
        <v>3ª Semana - agosto</v>
      </c>
      <c r="G39" t="s">
        <v>338</v>
      </c>
      <c r="H39">
        <v>12</v>
      </c>
      <c r="I39" t="s">
        <v>339</v>
      </c>
      <c r="J39" t="s">
        <v>340</v>
      </c>
      <c r="K39">
        <v>66</v>
      </c>
      <c r="L39" t="s">
        <v>341</v>
      </c>
      <c r="M39" t="s">
        <v>155</v>
      </c>
      <c r="N39" t="str">
        <f t="shared" si="1"/>
        <v>Atraso até 30 min</v>
      </c>
      <c r="O39" t="str">
        <f t="shared" si="2"/>
        <v>Atraso acima de 1 hora</v>
      </c>
      <c r="P39" t="s">
        <v>30</v>
      </c>
    </row>
    <row r="40" spans="1:16">
      <c r="A40" t="s">
        <v>342</v>
      </c>
      <c r="B40" t="s">
        <v>343</v>
      </c>
      <c r="C40" t="s">
        <v>344</v>
      </c>
      <c r="D40" t="s">
        <v>345</v>
      </c>
      <c r="E40" s="1" t="s">
        <v>94</v>
      </c>
      <c r="F40" s="1" t="str">
        <f t="shared" si="0"/>
        <v>3ª Semana - agosto</v>
      </c>
      <c r="G40" t="s">
        <v>346</v>
      </c>
      <c r="H40">
        <v>9</v>
      </c>
      <c r="I40" t="s">
        <v>318</v>
      </c>
      <c r="J40" t="s">
        <v>347</v>
      </c>
      <c r="K40">
        <v>564</v>
      </c>
      <c r="L40" t="s">
        <v>348</v>
      </c>
      <c r="M40" t="s">
        <v>271</v>
      </c>
      <c r="N40" t="str">
        <f t="shared" si="1"/>
        <v>Atraso até 30 min</v>
      </c>
      <c r="O40" t="str">
        <f t="shared" si="2"/>
        <v>Atraso acima de 1 hora</v>
      </c>
      <c r="P40" t="s">
        <v>30</v>
      </c>
    </row>
    <row r="41" spans="1:16">
      <c r="A41" t="s">
        <v>62</v>
      </c>
      <c r="B41" t="s">
        <v>63</v>
      </c>
      <c r="C41" t="s">
        <v>64</v>
      </c>
      <c r="D41" t="s">
        <v>65</v>
      </c>
      <c r="E41" s="1" t="s">
        <v>66</v>
      </c>
      <c r="F41" s="1" t="str">
        <f t="shared" si="0"/>
        <v>3ª Semana - agosto</v>
      </c>
      <c r="G41" t="s">
        <v>67</v>
      </c>
      <c r="H41">
        <v>-63</v>
      </c>
      <c r="I41" t="s">
        <v>68</v>
      </c>
      <c r="J41" t="s">
        <v>69</v>
      </c>
      <c r="K41">
        <v>148</v>
      </c>
      <c r="L41" t="s">
        <v>70</v>
      </c>
      <c r="M41" t="s">
        <v>71</v>
      </c>
      <c r="N41" t="str">
        <f t="shared" si="1"/>
        <v>Pontual</v>
      </c>
      <c r="O41" t="str">
        <f t="shared" si="2"/>
        <v>Atraso acima de 1 hora</v>
      </c>
      <c r="P41" t="s">
        <v>30</v>
      </c>
    </row>
    <row r="42" spans="1:16">
      <c r="A42" t="s">
        <v>349</v>
      </c>
      <c r="B42" t="s">
        <v>350</v>
      </c>
      <c r="C42" t="s">
        <v>351</v>
      </c>
      <c r="D42" t="s">
        <v>352</v>
      </c>
      <c r="E42" s="1" t="s">
        <v>353</v>
      </c>
      <c r="F42" s="1" t="str">
        <f t="shared" si="0"/>
        <v>3ª Semana - agosto</v>
      </c>
      <c r="G42" t="s">
        <v>354</v>
      </c>
      <c r="H42">
        <v>1384</v>
      </c>
      <c r="I42" t="s">
        <v>355</v>
      </c>
      <c r="J42" t="s">
        <v>356</v>
      </c>
      <c r="K42">
        <v>1452</v>
      </c>
      <c r="L42" t="s">
        <v>357</v>
      </c>
      <c r="M42" t="s">
        <v>89</v>
      </c>
      <c r="N42" t="str">
        <f t="shared" si="1"/>
        <v>Atraso acima de 1 hora</v>
      </c>
      <c r="O42" t="str">
        <f t="shared" si="2"/>
        <v>Atraso acima de 1 hora</v>
      </c>
      <c r="P42" t="s">
        <v>30</v>
      </c>
    </row>
    <row r="43" spans="1:16">
      <c r="A43" t="s">
        <v>358</v>
      </c>
      <c r="B43" t="s">
        <v>359</v>
      </c>
      <c r="C43" t="s">
        <v>360</v>
      </c>
      <c r="D43" t="s">
        <v>361</v>
      </c>
      <c r="E43" s="1" t="s">
        <v>353</v>
      </c>
      <c r="F43" s="1" t="str">
        <f t="shared" si="0"/>
        <v>3ª Semana - agosto</v>
      </c>
      <c r="G43" t="s">
        <v>362</v>
      </c>
      <c r="H43">
        <v>1438</v>
      </c>
      <c r="I43" t="s">
        <v>363</v>
      </c>
      <c r="J43" t="s">
        <v>364</v>
      </c>
      <c r="K43">
        <v>1569</v>
      </c>
      <c r="L43" t="s">
        <v>365</v>
      </c>
      <c r="M43" t="s">
        <v>27</v>
      </c>
      <c r="N43" t="str">
        <f t="shared" si="1"/>
        <v>Atraso acima de 1 hora</v>
      </c>
      <c r="O43" t="str">
        <f t="shared" si="2"/>
        <v>Atraso acima de 1 hora</v>
      </c>
      <c r="P43" t="s">
        <v>30</v>
      </c>
    </row>
  </sheetData>
  <autoFilter ref="A1:P43" xr:uid="{00000000-0001-0000-0000-000000000000}"/>
  <pageMargins left="0.511811024" right="0.511811024" top="0.78740157499999996" bottom="0.78740157499999996" header="0.31496062000000002" footer="0.31496062000000002"/>
  <ignoredErrors>
    <ignoredError sqref="P1:P43 A1:E1 A3:E43 A2:D2 G1:M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/>
  <dcterms:created xsi:type="dcterms:W3CDTF">2026-08-19T19:38:52Z</dcterms:created>
  <dcterms:modified xsi:type="dcterms:W3CDTF">2026-08-20T11:44:18Z</dcterms:modified>
  <cp:category/>
  <cp:contentStatus/>
</cp:coreProperties>
</file>