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schemuda\Desktop\"/>
    </mc:Choice>
  </mc:AlternateContent>
  <xr:revisionPtr revIDLastSave="0" documentId="13_ncr:1_{33C1722F-C2FB-42AB-A609-29CA88574CA1}" xr6:coauthVersionLast="47" xr6:coauthVersionMax="47" xr10:uidLastSave="{00000000-0000-0000-0000-000000000000}"/>
  <bookViews>
    <workbookView xWindow="-110" yWindow="-110" windowWidth="19420" windowHeight="10300" tabRatio="756" activeTab="4" xr2:uid="{F44E8421-42F2-4483-B4CF-529E412C72B5}"/>
  </bookViews>
  <sheets>
    <sheet name="Emiko" sheetId="18" r:id="rId1"/>
    <sheet name="Transvel" sheetId="19" r:id="rId2"/>
    <sheet name="JR Abraão" sheetId="24" r:id="rId3"/>
    <sheet name="Dalla Corte" sheetId="22" r:id="rId4"/>
    <sheet name="ABC" sheetId="21" r:id="rId5"/>
  </sheets>
  <definedNames>
    <definedName name="_xlnm._FilterDatabase" localSheetId="4" hidden="1">ABC!$A$2:$H$28</definedName>
    <definedName name="_xlnm._FilterDatabase" localSheetId="0" hidden="1">Emiko!$A$2:$H$13</definedName>
    <definedName name="_xlnm._FilterDatabase" localSheetId="2" hidden="1">'JR Abraão'!$A$2:$H$29</definedName>
    <definedName name="_xlnm._FilterDatabase" localSheetId="1" hidden="1">Transvel!$A$2:$H$17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4" l="1"/>
  <c r="H43" i="24" s="1"/>
  <c r="H17" i="21"/>
  <c r="H26" i="21"/>
  <c r="H25" i="21"/>
  <c r="H29" i="24" l="1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9" i="24"/>
  <c r="H8" i="24"/>
  <c r="H7" i="24"/>
  <c r="H6" i="24"/>
  <c r="H5" i="24"/>
  <c r="H4" i="24"/>
  <c r="H3" i="24"/>
  <c r="H6" i="22" l="1"/>
  <c r="H4" i="22"/>
  <c r="H3" i="22"/>
  <c r="H17" i="22"/>
  <c r="H16" i="22"/>
  <c r="H15" i="22"/>
  <c r="H14" i="22"/>
  <c r="H13" i="22"/>
  <c r="H12" i="22"/>
  <c r="H11" i="22"/>
  <c r="H10" i="22"/>
  <c r="H9" i="22"/>
  <c r="H8" i="22"/>
  <c r="H7" i="22"/>
  <c r="H5" i="22"/>
  <c r="H24" i="21"/>
  <c r="H23" i="21"/>
  <c r="H21" i="21"/>
  <c r="H20" i="21"/>
  <c r="H19" i="21"/>
  <c r="H18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</calcChain>
</file>

<file path=xl/sharedStrings.xml><?xml version="1.0" encoding="utf-8"?>
<sst xmlns="http://schemas.openxmlformats.org/spreadsheetml/2006/main" count="506" uniqueCount="126">
  <si>
    <t>Lote</t>
  </si>
  <si>
    <t xml:space="preserve">Total </t>
  </si>
  <si>
    <t>Emiko</t>
  </si>
  <si>
    <t>FILAL</t>
  </si>
  <si>
    <t>LINHA</t>
  </si>
  <si>
    <t>NRO VEICULOS</t>
  </si>
  <si>
    <t>TIPO VEÍCULO</t>
  </si>
  <si>
    <t>TOTAL KM</t>
  </si>
  <si>
    <t>Valor Km</t>
  </si>
  <si>
    <t>CURITIBA</t>
  </si>
  <si>
    <t>CURITIBA X LONDRINA</t>
  </si>
  <si>
    <t>LONDRINA</t>
  </si>
  <si>
    <t>CAVALO MECANICO</t>
  </si>
  <si>
    <t>LONDRINA X CURITIBA</t>
  </si>
  <si>
    <t>TRUCK</t>
  </si>
  <si>
    <t>LONDRINA X MARINGÁ X PONTA GROSSA X CURITIBA</t>
  </si>
  <si>
    <t>MARINGA</t>
  </si>
  <si>
    <t>PONTA GROSSA</t>
  </si>
  <si>
    <t>IBAITI X CORNELIO PROCÓPIO X LONDRINA</t>
  </si>
  <si>
    <t>LONDRINA X CORNELIO PROCÓPIO X IBAITI</t>
  </si>
  <si>
    <t>MARINGA X PARANAVAÍ</t>
  </si>
  <si>
    <t>PARANAVAÍ X MARINGA</t>
  </si>
  <si>
    <t xml:space="preserve">CURITIBA X GUARAPUAVA X CAMPO MOURÃO X UMUARAMA </t>
  </si>
  <si>
    <t>GUARAPUAVA</t>
  </si>
  <si>
    <t>UMUARAMA X CAMPO MOURÃO X GUARAPUAVA X IRATI X CURITIBA</t>
  </si>
  <si>
    <t xml:space="preserve">CURITIBA X MARINGA </t>
  </si>
  <si>
    <t>MARINGÁ X CURITIBA</t>
  </si>
  <si>
    <t>CURITIBA X SÃO MATEUS X UNIÃO DA VITÓRIA</t>
  </si>
  <si>
    <t>UNIÃO DA VITÓRIA X CURITIBA</t>
  </si>
  <si>
    <t>CURITIBA X PALMEIRA X IRATI X PRUDENTOPOLIS</t>
  </si>
  <si>
    <t>PRUDENTOPOLIS X PONTA GROSSA X CURITIBA</t>
  </si>
  <si>
    <t>CURITIBA X CASTRO X JAGUARIAIVA</t>
  </si>
  <si>
    <t>JAGUARIAIVA X PONTA GROSSA X CURITIBA</t>
  </si>
  <si>
    <t>CASCAVEL</t>
  </si>
  <si>
    <t>CASCAVEL X MEDIANEIRA X FOZ DO IGUAÇU</t>
  </si>
  <si>
    <t xml:space="preserve">FOZ DO IGUAÇU X MEDIANEIRA X CASCAVEL </t>
  </si>
  <si>
    <t xml:space="preserve">CURITIBA X CASCAVEL X TOLEDO   </t>
  </si>
  <si>
    <t>TOLEDO X CASCAVEL X GUARAPUAVA X P GROSSA X CURITIBA</t>
  </si>
  <si>
    <t>CASCAVEL X PALOTINA X TERRA ROXA</t>
  </si>
  <si>
    <t>TERRA ROXA X PALOTINA X CASCAVEL</t>
  </si>
  <si>
    <t>TOCO</t>
  </si>
  <si>
    <t>CASCAVEL X REALEZA</t>
  </si>
  <si>
    <t>REALEZA X CASCAVEL</t>
  </si>
  <si>
    <t xml:space="preserve">CURITIBA X CASCAVEL </t>
  </si>
  <si>
    <t>CASCAVEL X GUARAPUAVA X IRATI X CURITIBA</t>
  </si>
  <si>
    <t xml:space="preserve">CURITIBA X MEDIANEIRA X FOZ DO IGUAÇU </t>
  </si>
  <si>
    <t>FOZ DO IGUAÇU X CASCAVEL X CURITIBA</t>
  </si>
  <si>
    <t>CURITIBA X GUARAPUAVA</t>
  </si>
  <si>
    <t>GUARAPUAVA X CURITIBA</t>
  </si>
  <si>
    <t>APUCARANA X MARINGÁ X CASCAVEL X TOLEDO</t>
  </si>
  <si>
    <t>TOLEDO X CASCAVEL X MARINGÁ X APUCARANA</t>
  </si>
  <si>
    <t>CASCAVEL X MARINGÁ X LONDRINA</t>
  </si>
  <si>
    <t>LONDRINA X MARINGÁ X CASCAVEL</t>
  </si>
  <si>
    <t xml:space="preserve">GUARAPUAVA X PONTA GROSSA X SÃO PAULO </t>
  </si>
  <si>
    <t>SÃO PAULO</t>
  </si>
  <si>
    <t>SÃO PAULO X PONTA GROSSA X GUARAPUAVA</t>
  </si>
  <si>
    <t>ABC Transp.</t>
  </si>
  <si>
    <t>Dalla Corte</t>
  </si>
  <si>
    <t>APUCARANA X LONDRINA X GUARAPUAVA</t>
  </si>
  <si>
    <t>GUARAPUAVA X LONDRINA X APUCARANA</t>
  </si>
  <si>
    <t>GUARAPUAVA X CASCAVEL</t>
  </si>
  <si>
    <t>CASCAVEL X IBEMA X GUARAPUAVA</t>
  </si>
  <si>
    <t>GUARAPUAVA X CHAPECÓ</t>
  </si>
  <si>
    <t>CHAPECÓ X GUARAPUAVA</t>
  </si>
  <si>
    <t>GUARAPUAVA X CHOPIZINHO X DOIS VIZINHOS</t>
  </si>
  <si>
    <t>DOIS VIZINHOS X CHOPINZINHO X GUARAPUAVA</t>
  </si>
  <si>
    <t>GUARAPUAVA X PRUDENTOPOLIS X IRATI</t>
  </si>
  <si>
    <t xml:space="preserve">GUARAPUAVA X PATO BRANCO </t>
  </si>
  <si>
    <t>PATO BRANCO X GUARAPUAVA</t>
  </si>
  <si>
    <t>GUARAPUAVA X CANDOI X MANGUERINHA X PALMAS</t>
  </si>
  <si>
    <t>PALMAS X MANGUEIRINHA X CANDÓI X GUARAPUAVA</t>
  </si>
  <si>
    <t xml:space="preserve">PONTA GROSSA X PALMEIRA X SÃO MATEUS DO SUL </t>
  </si>
  <si>
    <t>3/4.</t>
  </si>
  <si>
    <t>SÃO MATEUS DO SUL X PALMEIRA X PONTA GROSSA</t>
  </si>
  <si>
    <t>MARINGÁ X GUARAPUAVA X PONTO GROSSA.</t>
  </si>
  <si>
    <t>PONTA GROSSA X GUARAPUAVA X MARINGÁ</t>
  </si>
  <si>
    <t>CURITIBA X FRANCISCO BELTRÃO</t>
  </si>
  <si>
    <t>FRANCISCO BELTRÃO X GUARAPUAVA X CURITIBA</t>
  </si>
  <si>
    <t>JOINVILLE</t>
  </si>
  <si>
    <t>JOINVILLE X CRICIÚMA</t>
  </si>
  <si>
    <t>CRICIÚMA X JOINVILLE</t>
  </si>
  <si>
    <t>JOINIVLLE X RIO DO SUL X LAGES X JOAÇABA</t>
  </si>
  <si>
    <t>JOAÇABA X JOINVILLE</t>
  </si>
  <si>
    <t>CURITIBA X BLUMENAU</t>
  </si>
  <si>
    <t>BLUMENAU X CURITIBA</t>
  </si>
  <si>
    <t>CURITIBA X SÃO PAULO</t>
  </si>
  <si>
    <t>SÃO PAULO X CURITIBA</t>
  </si>
  <si>
    <t>JOINVILLE 1</t>
  </si>
  <si>
    <t>JOINVILLE X CURITIBA</t>
  </si>
  <si>
    <t>CURITIBA X JOINVILLE</t>
  </si>
  <si>
    <t>JOINVILLE 2</t>
  </si>
  <si>
    <t>CURITIBA X COTIA</t>
  </si>
  <si>
    <t>COTIA X CURITIBA</t>
  </si>
  <si>
    <t>SÃO PAULO X CAMPINAS X RIBEIRAO PRETO</t>
  </si>
  <si>
    <t>FRANCA X RIBEIRAO PRETO X CAMPINAS X SÃO PAULO</t>
  </si>
  <si>
    <t>SÃO PAULO X SÃO JOSE DOS CAMPOS</t>
  </si>
  <si>
    <t>GOIANIA X BRASILIA</t>
  </si>
  <si>
    <t>BRASILIA X GOIANIA</t>
  </si>
  <si>
    <t>BRASILIA X BARREIRAS</t>
  </si>
  <si>
    <t>BARREIRAS X BRASILIA</t>
  </si>
  <si>
    <t>FERNANDOPOLIS X BIRIGUI X LONDRINA</t>
  </si>
  <si>
    <t>LONDRINA X BIRIGUI X SÃO JOSE DO RIO PRETO X FERNANDOPOLIS</t>
  </si>
  <si>
    <t>APUCARANA X GUARAPUAVA X PONTA GROSSA</t>
  </si>
  <si>
    <t>PONTA GROSSA X TELÊMACO BORBA X APUCARANA</t>
  </si>
  <si>
    <t xml:space="preserve">JR Abraão </t>
  </si>
  <si>
    <t xml:space="preserve">Transvel </t>
  </si>
  <si>
    <t>MARINGAX LONDRINA X UBERLANDIA X GOIANIA</t>
  </si>
  <si>
    <t>GOIANIA X BIRIGUI X LONDRINA X MARINGA</t>
  </si>
  <si>
    <t>GOIANIA X UBERLANDIA X BIRIGUI X LONDRINA X MARINGA</t>
  </si>
  <si>
    <t>GOIANIA</t>
  </si>
  <si>
    <t>CANTELLE GOIANIA X G5 LOG GOIANIA</t>
  </si>
  <si>
    <t>DIARIA</t>
  </si>
  <si>
    <t xml:space="preserve">CURITIBA X TELEMACO BORBA X APUCARANA X LONDRINA </t>
  </si>
  <si>
    <t xml:space="preserve">CURITIBA X PONTA GROSSA </t>
  </si>
  <si>
    <t>PONTA GROSSA X CURITIBA</t>
  </si>
  <si>
    <t>50 cubico</t>
  </si>
  <si>
    <t>12 ton</t>
  </si>
  <si>
    <t>Cubagem</t>
  </si>
  <si>
    <t>Peso</t>
  </si>
  <si>
    <t>100 cubico</t>
  </si>
  <si>
    <t>24 ton</t>
  </si>
  <si>
    <t>CASCAVEL X MARECHAL CANDIDO RONDON X ASSIS CHATEAUBRIAND</t>
  </si>
  <si>
    <t>ASSIS CHATEAUBRIAND X MARECHAL CANDIDO RONDON X CASCAVEL</t>
  </si>
  <si>
    <t>35 cubico</t>
  </si>
  <si>
    <t>6 ton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</si>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</sst>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\ * #,##0_-;\-&quot;R$&quot;\ * #,##0_-;_-&quot;R$&quot;\ 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b/>
      <sz val="9"/>
      <color rgb="FFFFFFFF"/>
      <name val="Calibri"/>
      <family val="2"/>
    </font>
    <font>
      <b/>
      <sz val="9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44" fontId="4" fillId="2" borderId="1" xfId="1" applyFont="1" applyFill="1" applyBorder="1" applyAlignment="1">
      <alignment horizontal="center"/>
    </xf>
    <xf numFmtId="0" fontId="3" fillId="0" borderId="1" xfId="0" applyFont="1" applyBorder="1"/>
    <xf numFmtId="0" fontId="4" fillId="4" borderId="1" xfId="0" applyFont="1" applyFill="1" applyBorder="1" applyAlignment="1">
      <alignment horizontal="center"/>
    </xf>
    <xf numFmtId="0" fontId="5" fillId="0" borderId="1" xfId="0" applyFont="1" applyBorder="1"/>
    <xf numFmtId="0" fontId="2" fillId="0" borderId="1" xfId="0" applyFont="1" applyBorder="1"/>
    <xf numFmtId="44" fontId="0" fillId="0" borderId="1" xfId="1" applyFont="1" applyBorder="1"/>
    <xf numFmtId="44" fontId="0" fillId="0" borderId="1" xfId="0" applyNumberFormat="1" applyBorder="1"/>
    <xf numFmtId="44" fontId="0" fillId="3" borderId="1" xfId="0" applyNumberFormat="1" applyFill="1" applyBorder="1"/>
    <xf numFmtId="164" fontId="0" fillId="0" borderId="1" xfId="0" applyNumberFormat="1" applyBorder="1"/>
    <xf numFmtId="164" fontId="0" fillId="0" borderId="0" xfId="0" applyNumberFormat="1"/>
    <xf numFmtId="0" fontId="3" fillId="0" borderId="1" xfId="0" applyFont="1" applyBorder="1" applyAlignment="1">
      <alignment horizontal="center"/>
    </xf>
    <xf numFmtId="44" fontId="6" fillId="0" borderId="1" xfId="1" applyFont="1" applyFill="1" applyBorder="1"/>
    <xf numFmtId="164" fontId="0" fillId="3" borderId="1" xfId="0" applyNumberFormat="1" applyFill="1" applyBorder="1"/>
    <xf numFmtId="0" fontId="3" fillId="3" borderId="1" xfId="0" applyFont="1" applyFill="1" applyBorder="1"/>
    <xf numFmtId="44" fontId="6" fillId="3" borderId="1" xfId="1" applyFont="1" applyFill="1" applyBorder="1"/>
    <xf numFmtId="9" fontId="0" fillId="0" borderId="0" xfId="0" applyNumberFormat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/>
    <xf numFmtId="44" fontId="4" fillId="2" borderId="2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4">
    <cellStyle name="Moeda" xfId="1" builtinId="4"/>
    <cellStyle name="Moeda 2" xfId="2" xr:uid="{B43F359E-CA3C-4804-AB95-93730EAB1E10}"/>
    <cellStyle name="Moeda 3" xfId="3" xr:uid="{10E9FD80-6E74-43EB-974E-0012D105825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C5A4F-92BA-455F-941F-E427D9274680}">
  <dimension ref="A1:J15"/>
  <sheetViews>
    <sheetView workbookViewId="0">
      <selection activeCell="I3" sqref="I3:J6"/>
    </sheetView>
  </sheetViews>
  <sheetFormatPr defaultRowHeight="14.5" x14ac:dyDescent="0.35"/>
  <cols>
    <col min="1" max="1" width="3.81640625" bestFit="1" customWidth="1"/>
    <col min="2" max="2" width="7.1796875" bestFit="1" customWidth="1"/>
    <col min="3" max="3" width="49.453125" bestFit="1" customWidth="1"/>
    <col min="4" max="4" width="11" bestFit="1" customWidth="1"/>
    <col min="5" max="5" width="14.54296875" bestFit="1" customWidth="1"/>
    <col min="6" max="6" width="8.90625" bestFit="1" customWidth="1"/>
    <col min="7" max="7" width="8.36328125" bestFit="1" customWidth="1"/>
    <col min="8" max="8" width="9.36328125" bestFit="1" customWidth="1"/>
    <col min="9" max="9" width="11.6328125" bestFit="1" customWidth="1"/>
  </cols>
  <sheetData>
    <row r="1" spans="1:10" x14ac:dyDescent="0.35">
      <c r="G1" s="22" t="s">
        <v>2</v>
      </c>
      <c r="H1" s="22"/>
    </row>
    <row r="2" spans="1:10" x14ac:dyDescent="0.35">
      <c r="A2" s="1" t="s">
        <v>0</v>
      </c>
      <c r="B2" s="1" t="s">
        <v>3</v>
      </c>
      <c r="C2" s="5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1</v>
      </c>
      <c r="I2" s="21" t="s">
        <v>117</v>
      </c>
      <c r="J2" s="21" t="s">
        <v>118</v>
      </c>
    </row>
    <row r="3" spans="1:10" ht="24" customHeight="1" x14ac:dyDescent="0.35">
      <c r="A3" s="13">
        <v>1</v>
      </c>
      <c r="B3" s="4" t="s">
        <v>9</v>
      </c>
      <c r="C3" s="4" t="s">
        <v>22</v>
      </c>
      <c r="D3" s="13">
        <v>1</v>
      </c>
      <c r="E3" s="4" t="s">
        <v>14</v>
      </c>
      <c r="F3" s="7">
        <v>570</v>
      </c>
      <c r="G3" s="10">
        <v>3.5</v>
      </c>
      <c r="H3" s="15">
        <v>1995</v>
      </c>
      <c r="I3" t="s">
        <v>115</v>
      </c>
      <c r="J3" t="s">
        <v>116</v>
      </c>
    </row>
    <row r="4" spans="1:10" ht="24" customHeight="1" x14ac:dyDescent="0.35">
      <c r="A4" s="13">
        <v>1</v>
      </c>
      <c r="B4" s="4" t="s">
        <v>9</v>
      </c>
      <c r="C4" s="4" t="s">
        <v>24</v>
      </c>
      <c r="D4" s="13">
        <v>1</v>
      </c>
      <c r="E4" s="4" t="s">
        <v>14</v>
      </c>
      <c r="F4" s="7">
        <v>570</v>
      </c>
      <c r="G4" s="10">
        <v>3.5</v>
      </c>
      <c r="H4" s="15">
        <v>1995</v>
      </c>
      <c r="I4" t="s">
        <v>115</v>
      </c>
      <c r="J4" t="s">
        <v>116</v>
      </c>
    </row>
    <row r="5" spans="1:10" ht="24" customHeight="1" x14ac:dyDescent="0.35">
      <c r="A5" s="13">
        <v>1</v>
      </c>
      <c r="B5" s="4" t="s">
        <v>9</v>
      </c>
      <c r="C5" s="4" t="s">
        <v>25</v>
      </c>
      <c r="D5" s="13">
        <v>1</v>
      </c>
      <c r="E5" s="4" t="s">
        <v>12</v>
      </c>
      <c r="F5" s="7">
        <v>440</v>
      </c>
      <c r="G5" s="10">
        <v>4.9000000000000004</v>
      </c>
      <c r="H5" s="15">
        <v>2156</v>
      </c>
      <c r="I5" t="s">
        <v>119</v>
      </c>
      <c r="J5" t="s">
        <v>120</v>
      </c>
    </row>
    <row r="6" spans="1:10" ht="24" customHeight="1" x14ac:dyDescent="0.35">
      <c r="A6" s="13">
        <v>1</v>
      </c>
      <c r="B6" s="4" t="s">
        <v>9</v>
      </c>
      <c r="C6" s="4" t="s">
        <v>26</v>
      </c>
      <c r="D6" s="13">
        <v>1</v>
      </c>
      <c r="E6" s="4" t="s">
        <v>12</v>
      </c>
      <c r="F6" s="7">
        <v>440</v>
      </c>
      <c r="G6" s="10">
        <v>4.9000000000000004</v>
      </c>
      <c r="H6" s="15">
        <v>2156</v>
      </c>
      <c r="I6" t="s">
        <v>119</v>
      </c>
      <c r="J6" t="s">
        <v>120</v>
      </c>
    </row>
    <row r="7" spans="1:10" ht="24" customHeight="1" x14ac:dyDescent="0.35">
      <c r="A7" s="13">
        <v>2</v>
      </c>
      <c r="B7" s="4" t="s">
        <v>9</v>
      </c>
      <c r="C7" s="4" t="s">
        <v>43</v>
      </c>
      <c r="D7" s="13">
        <v>1</v>
      </c>
      <c r="E7" s="4" t="s">
        <v>12</v>
      </c>
      <c r="F7" s="7">
        <v>507</v>
      </c>
      <c r="G7" s="10">
        <v>4.5999999999999996</v>
      </c>
      <c r="H7" s="15">
        <v>2332.1999999999998</v>
      </c>
      <c r="I7" t="s">
        <v>119</v>
      </c>
      <c r="J7" t="s">
        <v>120</v>
      </c>
    </row>
    <row r="8" spans="1:10" ht="24" customHeight="1" x14ac:dyDescent="0.35">
      <c r="A8" s="13">
        <v>2</v>
      </c>
      <c r="B8" s="4" t="s">
        <v>9</v>
      </c>
      <c r="C8" s="4" t="s">
        <v>44</v>
      </c>
      <c r="D8" s="13">
        <v>1</v>
      </c>
      <c r="E8" s="4" t="s">
        <v>12</v>
      </c>
      <c r="F8" s="7">
        <v>507</v>
      </c>
      <c r="G8" s="10">
        <v>4.5999999999999996</v>
      </c>
      <c r="H8" s="15">
        <v>2332.1999999999998</v>
      </c>
      <c r="I8" t="s">
        <v>119</v>
      </c>
      <c r="J8" t="s">
        <v>120</v>
      </c>
    </row>
    <row r="9" spans="1:10" ht="24" customHeight="1" x14ac:dyDescent="0.35">
      <c r="A9" s="13">
        <v>2</v>
      </c>
      <c r="B9" s="4" t="s">
        <v>9</v>
      </c>
      <c r="C9" s="4" t="s">
        <v>45</v>
      </c>
      <c r="D9" s="13">
        <v>1</v>
      </c>
      <c r="E9" s="4" t="s">
        <v>12</v>
      </c>
      <c r="F9" s="7">
        <v>637</v>
      </c>
      <c r="G9" s="10">
        <v>4.5999999999999996</v>
      </c>
      <c r="H9" s="15">
        <v>2930.2</v>
      </c>
      <c r="I9" t="s">
        <v>119</v>
      </c>
      <c r="J9" t="s">
        <v>120</v>
      </c>
    </row>
    <row r="10" spans="1:10" ht="24" customHeight="1" x14ac:dyDescent="0.35">
      <c r="A10" s="13">
        <v>2</v>
      </c>
      <c r="B10" s="4" t="s">
        <v>9</v>
      </c>
      <c r="C10" s="4" t="s">
        <v>46</v>
      </c>
      <c r="D10" s="13">
        <v>1</v>
      </c>
      <c r="E10" s="4" t="s">
        <v>12</v>
      </c>
      <c r="F10" s="7">
        <v>637</v>
      </c>
      <c r="G10" s="10">
        <v>4.5999999999999996</v>
      </c>
      <c r="H10" s="15">
        <v>2930.2</v>
      </c>
      <c r="I10" t="s">
        <v>119</v>
      </c>
      <c r="J10" t="s">
        <v>120</v>
      </c>
    </row>
    <row r="11" spans="1:10" ht="24" customHeight="1" x14ac:dyDescent="0.35">
      <c r="A11" s="13">
        <v>2</v>
      </c>
      <c r="B11" s="4" t="s">
        <v>9</v>
      </c>
      <c r="C11" s="4" t="s">
        <v>47</v>
      </c>
      <c r="D11" s="13">
        <v>1</v>
      </c>
      <c r="E11" s="4" t="s">
        <v>12</v>
      </c>
      <c r="F11" s="7">
        <v>255</v>
      </c>
      <c r="G11" s="10">
        <v>4.3</v>
      </c>
      <c r="H11" s="15">
        <v>1096.5</v>
      </c>
      <c r="I11" t="s">
        <v>119</v>
      </c>
      <c r="J11" t="s">
        <v>120</v>
      </c>
    </row>
    <row r="12" spans="1:10" ht="24" customHeight="1" x14ac:dyDescent="0.35">
      <c r="A12" s="13">
        <v>2</v>
      </c>
      <c r="B12" s="4" t="s">
        <v>9</v>
      </c>
      <c r="C12" s="4" t="s">
        <v>48</v>
      </c>
      <c r="D12" s="13">
        <v>0</v>
      </c>
      <c r="E12" s="4" t="s">
        <v>12</v>
      </c>
      <c r="F12" s="7">
        <v>255</v>
      </c>
      <c r="G12" s="10">
        <v>4.3</v>
      </c>
      <c r="H12" s="15">
        <v>1096.5</v>
      </c>
      <c r="I12" t="s">
        <v>119</v>
      </c>
      <c r="J12" t="s">
        <v>120</v>
      </c>
    </row>
    <row r="15" spans="1:10" x14ac:dyDescent="0.35">
      <c r="G15" s="18"/>
      <c r="H15" s="12"/>
    </row>
  </sheetData>
  <mergeCells count="1">
    <mergeCell ref="G1:H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9559-AA7C-45A4-85BF-BCDF53DD6D8C}">
  <dimension ref="A1:J19"/>
  <sheetViews>
    <sheetView topLeftCell="C1" workbookViewId="0">
      <selection activeCell="I2" sqref="I1:I1048576"/>
    </sheetView>
  </sheetViews>
  <sheetFormatPr defaultRowHeight="14.5" x14ac:dyDescent="0.35"/>
  <cols>
    <col min="1" max="1" width="3.81640625" bestFit="1" customWidth="1"/>
    <col min="2" max="2" width="11.6328125" bestFit="1" customWidth="1"/>
    <col min="3" max="3" width="49.81640625" bestFit="1" customWidth="1"/>
    <col min="4" max="4" width="11" bestFit="1" customWidth="1"/>
    <col min="5" max="5" width="14.54296875" bestFit="1" customWidth="1"/>
    <col min="6" max="6" width="8.90625" bestFit="1" customWidth="1"/>
    <col min="7" max="7" width="8.36328125" bestFit="1" customWidth="1"/>
    <col min="8" max="8" width="9.36328125" bestFit="1" customWidth="1"/>
    <col min="11" max="11" width="11.90625" customWidth="1"/>
    <col min="13" max="13" width="12.90625" customWidth="1"/>
  </cols>
  <sheetData>
    <row r="1" spans="1:10" x14ac:dyDescent="0.35">
      <c r="G1" s="22" t="s">
        <v>105</v>
      </c>
      <c r="H1" s="22"/>
    </row>
    <row r="2" spans="1:10" ht="20.399999999999999" customHeight="1" x14ac:dyDescent="0.35">
      <c r="A2" s="1" t="s">
        <v>0</v>
      </c>
      <c r="B2" s="1" t="s">
        <v>3</v>
      </c>
      <c r="C2" s="5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1</v>
      </c>
      <c r="I2" s="21" t="s">
        <v>117</v>
      </c>
      <c r="J2" s="21" t="s">
        <v>118</v>
      </c>
    </row>
    <row r="3" spans="1:10" ht="20.399999999999999" customHeight="1" x14ac:dyDescent="0.35">
      <c r="A3" s="13">
        <v>1</v>
      </c>
      <c r="B3" s="4" t="s">
        <v>9</v>
      </c>
      <c r="C3" s="4" t="s">
        <v>10</v>
      </c>
      <c r="D3" s="4">
        <v>1</v>
      </c>
      <c r="E3" s="4" t="s">
        <v>12</v>
      </c>
      <c r="F3" s="7">
        <v>395</v>
      </c>
      <c r="G3" s="9">
        <v>4.9000000000000004</v>
      </c>
      <c r="H3" s="11">
        <f t="shared" ref="H3:H16" si="0">G3*F3</f>
        <v>1935.5000000000002</v>
      </c>
      <c r="I3" t="s">
        <v>119</v>
      </c>
      <c r="J3" t="s">
        <v>120</v>
      </c>
    </row>
    <row r="4" spans="1:10" ht="20.399999999999999" customHeight="1" x14ac:dyDescent="0.35">
      <c r="A4" s="13">
        <v>1</v>
      </c>
      <c r="B4" s="4" t="s">
        <v>9</v>
      </c>
      <c r="C4" s="4" t="s">
        <v>13</v>
      </c>
      <c r="D4" s="4">
        <v>1</v>
      </c>
      <c r="E4" s="4" t="s">
        <v>12</v>
      </c>
      <c r="F4" s="7">
        <v>395</v>
      </c>
      <c r="G4" s="9">
        <v>4.9000000000000004</v>
      </c>
      <c r="H4" s="11">
        <f t="shared" si="0"/>
        <v>1935.5000000000002</v>
      </c>
      <c r="I4" t="s">
        <v>119</v>
      </c>
      <c r="J4" t="s">
        <v>120</v>
      </c>
    </row>
    <row r="5" spans="1:10" ht="20.399999999999999" customHeight="1" x14ac:dyDescent="0.35">
      <c r="A5" s="13">
        <v>1</v>
      </c>
      <c r="B5" s="4" t="s">
        <v>17</v>
      </c>
      <c r="C5" s="16" t="s">
        <v>102</v>
      </c>
      <c r="D5" s="4">
        <v>1</v>
      </c>
      <c r="E5" s="4" t="s">
        <v>14</v>
      </c>
      <c r="F5" s="20">
        <v>437</v>
      </c>
      <c r="G5" s="9">
        <v>4.5</v>
      </c>
      <c r="H5" s="11">
        <f t="shared" si="0"/>
        <v>1966.5</v>
      </c>
      <c r="I5" t="s">
        <v>115</v>
      </c>
      <c r="J5" t="s">
        <v>116</v>
      </c>
    </row>
    <row r="6" spans="1:10" ht="20.399999999999999" customHeight="1" x14ac:dyDescent="0.35">
      <c r="A6" s="13">
        <v>1</v>
      </c>
      <c r="B6" s="4" t="s">
        <v>17</v>
      </c>
      <c r="C6" s="16" t="s">
        <v>103</v>
      </c>
      <c r="D6" s="4">
        <v>0</v>
      </c>
      <c r="E6" s="4" t="s">
        <v>14</v>
      </c>
      <c r="F6" s="20">
        <v>290</v>
      </c>
      <c r="G6" s="9">
        <v>4.5</v>
      </c>
      <c r="H6" s="11">
        <f t="shared" si="0"/>
        <v>1305</v>
      </c>
      <c r="I6" t="s">
        <v>115</v>
      </c>
      <c r="J6" t="s">
        <v>116</v>
      </c>
    </row>
    <row r="7" spans="1:10" ht="20.399999999999999" customHeight="1" x14ac:dyDescent="0.35">
      <c r="A7" s="13">
        <v>2</v>
      </c>
      <c r="B7" s="4" t="s">
        <v>33</v>
      </c>
      <c r="C7" s="4" t="s">
        <v>36</v>
      </c>
      <c r="D7" s="4">
        <v>1</v>
      </c>
      <c r="E7" s="4" t="s">
        <v>14</v>
      </c>
      <c r="F7" s="6">
        <v>551</v>
      </c>
      <c r="G7" s="10">
        <v>4.2</v>
      </c>
      <c r="H7" s="11">
        <f t="shared" si="0"/>
        <v>2314.2000000000003</v>
      </c>
      <c r="I7" t="s">
        <v>115</v>
      </c>
      <c r="J7" t="s">
        <v>116</v>
      </c>
    </row>
    <row r="8" spans="1:10" ht="20.399999999999999" customHeight="1" x14ac:dyDescent="0.35">
      <c r="A8" s="13">
        <v>2</v>
      </c>
      <c r="B8" s="4" t="s">
        <v>33</v>
      </c>
      <c r="C8" s="4" t="s">
        <v>37</v>
      </c>
      <c r="D8" s="4">
        <v>1</v>
      </c>
      <c r="E8" s="4" t="s">
        <v>14</v>
      </c>
      <c r="F8" s="6">
        <v>582</v>
      </c>
      <c r="G8" s="10">
        <v>4.2</v>
      </c>
      <c r="H8" s="11">
        <f t="shared" si="0"/>
        <v>2444.4</v>
      </c>
      <c r="I8" t="s">
        <v>115</v>
      </c>
      <c r="J8" t="s">
        <v>116</v>
      </c>
    </row>
    <row r="9" spans="1:10" ht="20.399999999999999" customHeight="1" x14ac:dyDescent="0.35">
      <c r="A9" s="13">
        <v>2</v>
      </c>
      <c r="B9" s="4" t="s">
        <v>33</v>
      </c>
      <c r="C9" s="4" t="s">
        <v>38</v>
      </c>
      <c r="D9" s="4">
        <v>1</v>
      </c>
      <c r="E9" s="4" t="s">
        <v>14</v>
      </c>
      <c r="F9" s="6">
        <v>170</v>
      </c>
      <c r="G9" s="10">
        <v>5.28</v>
      </c>
      <c r="H9" s="11">
        <f t="shared" si="0"/>
        <v>897.6</v>
      </c>
      <c r="I9" t="s">
        <v>115</v>
      </c>
      <c r="J9" t="s">
        <v>116</v>
      </c>
    </row>
    <row r="10" spans="1:10" ht="20.399999999999999" customHeight="1" x14ac:dyDescent="0.35">
      <c r="A10" s="13">
        <v>2</v>
      </c>
      <c r="B10" s="4" t="s">
        <v>33</v>
      </c>
      <c r="C10" s="4" t="s">
        <v>39</v>
      </c>
      <c r="D10" s="4">
        <v>0</v>
      </c>
      <c r="E10" s="4" t="s">
        <v>14</v>
      </c>
      <c r="F10" s="6">
        <v>170</v>
      </c>
      <c r="G10" s="10">
        <v>5.28</v>
      </c>
      <c r="H10" s="11">
        <f t="shared" si="0"/>
        <v>897.6</v>
      </c>
      <c r="I10" t="s">
        <v>115</v>
      </c>
      <c r="J10" t="s">
        <v>116</v>
      </c>
    </row>
    <row r="11" spans="1:10" ht="20.399999999999999" customHeight="1" x14ac:dyDescent="0.35">
      <c r="A11" s="13">
        <v>2</v>
      </c>
      <c r="B11" s="4" t="s">
        <v>33</v>
      </c>
      <c r="C11" s="4" t="s">
        <v>121</v>
      </c>
      <c r="D11" s="4">
        <v>1</v>
      </c>
      <c r="E11" s="4" t="s">
        <v>14</v>
      </c>
      <c r="F11" s="6">
        <v>180</v>
      </c>
      <c r="G11" s="10">
        <v>5.28</v>
      </c>
      <c r="H11" s="11">
        <f t="shared" si="0"/>
        <v>950.40000000000009</v>
      </c>
      <c r="I11" t="s">
        <v>115</v>
      </c>
      <c r="J11" t="s">
        <v>116</v>
      </c>
    </row>
    <row r="12" spans="1:10" ht="20.399999999999999" customHeight="1" x14ac:dyDescent="0.35">
      <c r="A12" s="13">
        <v>2</v>
      </c>
      <c r="B12" s="4" t="s">
        <v>33</v>
      </c>
      <c r="C12" s="4" t="s">
        <v>122</v>
      </c>
      <c r="D12" s="4">
        <v>0</v>
      </c>
      <c r="E12" s="4" t="s">
        <v>14</v>
      </c>
      <c r="F12" s="6">
        <v>180</v>
      </c>
      <c r="G12" s="10">
        <v>5.28</v>
      </c>
      <c r="H12" s="11">
        <f t="shared" si="0"/>
        <v>950.40000000000009</v>
      </c>
      <c r="I12" t="s">
        <v>115</v>
      </c>
      <c r="J12" t="s">
        <v>116</v>
      </c>
    </row>
    <row r="13" spans="1:10" ht="20.399999999999999" customHeight="1" x14ac:dyDescent="0.35">
      <c r="A13" s="13">
        <v>2</v>
      </c>
      <c r="B13" s="4" t="s">
        <v>33</v>
      </c>
      <c r="C13" s="4" t="s">
        <v>41</v>
      </c>
      <c r="D13" s="4">
        <v>1</v>
      </c>
      <c r="E13" s="4" t="s">
        <v>14</v>
      </c>
      <c r="F13" s="6">
        <v>105</v>
      </c>
      <c r="G13" s="10">
        <v>5.28</v>
      </c>
      <c r="H13" s="11">
        <f t="shared" si="0"/>
        <v>554.4</v>
      </c>
      <c r="I13" t="s">
        <v>115</v>
      </c>
      <c r="J13" t="s">
        <v>116</v>
      </c>
    </row>
    <row r="14" spans="1:10" ht="20.399999999999999" customHeight="1" x14ac:dyDescent="0.35">
      <c r="A14" s="13">
        <v>2</v>
      </c>
      <c r="B14" s="4" t="s">
        <v>33</v>
      </c>
      <c r="C14" s="4" t="s">
        <v>42</v>
      </c>
      <c r="D14" s="4">
        <v>0</v>
      </c>
      <c r="E14" s="4" t="s">
        <v>14</v>
      </c>
      <c r="F14" s="6">
        <v>105</v>
      </c>
      <c r="G14" s="10">
        <v>5.28</v>
      </c>
      <c r="H14" s="11">
        <f t="shared" si="0"/>
        <v>554.4</v>
      </c>
      <c r="I14" t="s">
        <v>115</v>
      </c>
      <c r="J14" t="s">
        <v>116</v>
      </c>
    </row>
    <row r="15" spans="1:10" ht="20.399999999999999" customHeight="1" x14ac:dyDescent="0.35">
      <c r="A15" s="13">
        <v>2</v>
      </c>
      <c r="B15" s="4" t="s">
        <v>33</v>
      </c>
      <c r="C15" s="4" t="s">
        <v>49</v>
      </c>
      <c r="D15" s="4">
        <v>1</v>
      </c>
      <c r="E15" s="4" t="s">
        <v>14</v>
      </c>
      <c r="F15" s="6">
        <v>395</v>
      </c>
      <c r="G15" s="9">
        <v>4.2</v>
      </c>
      <c r="H15" s="11">
        <f t="shared" si="0"/>
        <v>1659</v>
      </c>
      <c r="I15" t="s">
        <v>115</v>
      </c>
      <c r="J15" t="s">
        <v>116</v>
      </c>
    </row>
    <row r="16" spans="1:10" ht="20.399999999999999" customHeight="1" x14ac:dyDescent="0.35">
      <c r="A16" s="13">
        <v>2</v>
      </c>
      <c r="B16" s="4" t="s">
        <v>33</v>
      </c>
      <c r="C16" s="4" t="s">
        <v>50</v>
      </c>
      <c r="D16" s="4">
        <v>1</v>
      </c>
      <c r="E16" s="4" t="s">
        <v>14</v>
      </c>
      <c r="F16" s="6">
        <v>395</v>
      </c>
      <c r="G16" s="9">
        <v>4.2</v>
      </c>
      <c r="H16" s="11">
        <f t="shared" si="0"/>
        <v>1659</v>
      </c>
      <c r="I16" t="s">
        <v>115</v>
      </c>
      <c r="J16" t="s">
        <v>116</v>
      </c>
    </row>
    <row r="19" spans="7:8" x14ac:dyDescent="0.35">
      <c r="G19" s="18"/>
      <c r="H19" s="12"/>
    </row>
  </sheetData>
  <mergeCells count="1">
    <mergeCell ref="G1:H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2B880-AF05-4779-AB10-2D6DE6CFDAB7}">
  <dimension ref="A1:J43"/>
  <sheetViews>
    <sheetView topLeftCell="A7" zoomScaleNormal="100" workbookViewId="0">
      <pane xSplit="5" topLeftCell="F1" activePane="topRight" state="frozen"/>
      <selection pane="topRight" activeCell="I15" sqref="I15:J18"/>
    </sheetView>
  </sheetViews>
  <sheetFormatPr defaultRowHeight="14.5" x14ac:dyDescent="0.35"/>
  <cols>
    <col min="1" max="1" width="3.81640625" bestFit="1" customWidth="1"/>
    <col min="2" max="2" width="11.6328125" bestFit="1" customWidth="1"/>
    <col min="3" max="3" width="42.453125" bestFit="1" customWidth="1"/>
    <col min="4" max="4" width="11" bestFit="1" customWidth="1"/>
    <col min="5" max="5" width="14.54296875" bestFit="1" customWidth="1"/>
    <col min="6" max="6" width="8.90625" bestFit="1" customWidth="1"/>
    <col min="7" max="7" width="9.54296875" bestFit="1" customWidth="1"/>
    <col min="8" max="8" width="11.6328125" bestFit="1" customWidth="1"/>
    <col min="9" max="9" width="12.6328125" customWidth="1"/>
    <col min="10" max="10" width="11.6328125" bestFit="1" customWidth="1"/>
    <col min="11" max="11" width="10.54296875" bestFit="1" customWidth="1"/>
    <col min="12" max="12" width="9.54296875" bestFit="1" customWidth="1"/>
    <col min="13" max="13" width="7.90625" bestFit="1" customWidth="1"/>
    <col min="14" max="14" width="8.6328125" bestFit="1" customWidth="1"/>
    <col min="15" max="15" width="7.90625" bestFit="1" customWidth="1"/>
    <col min="16" max="16" width="8.6328125" bestFit="1" customWidth="1"/>
    <col min="17" max="17" width="7.90625" bestFit="1" customWidth="1"/>
    <col min="18" max="18" width="8.6328125" bestFit="1" customWidth="1"/>
    <col min="19" max="19" width="11.6328125" bestFit="1" customWidth="1"/>
    <col min="20" max="20" width="8.6328125" bestFit="1" customWidth="1"/>
    <col min="21" max="21" width="11.6328125" bestFit="1" customWidth="1"/>
    <col min="22" max="22" width="10.08984375" bestFit="1" customWidth="1"/>
    <col min="24" max="24" width="20.90625" bestFit="1" customWidth="1"/>
    <col min="25" max="25" width="11.6328125" bestFit="1" customWidth="1"/>
    <col min="26" max="26" width="11.08984375" bestFit="1" customWidth="1"/>
    <col min="28" max="28" width="11.08984375" bestFit="1" customWidth="1"/>
    <col min="29" max="29" width="11.6328125" bestFit="1" customWidth="1"/>
    <col min="30" max="30" width="11.08984375" bestFit="1" customWidth="1"/>
    <col min="32" max="32" width="11" bestFit="1" customWidth="1"/>
  </cols>
  <sheetData>
    <row r="1" spans="1:10" x14ac:dyDescent="0.35">
      <c r="G1" s="22" t="s">
        <v>104</v>
      </c>
      <c r="H1" s="22"/>
    </row>
    <row r="2" spans="1:10" x14ac:dyDescent="0.35">
      <c r="A2" s="1" t="s">
        <v>0</v>
      </c>
      <c r="B2" s="1" t="s">
        <v>3</v>
      </c>
      <c r="C2" s="5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1</v>
      </c>
      <c r="I2" s="21" t="s">
        <v>117</v>
      </c>
      <c r="J2" s="21" t="s">
        <v>118</v>
      </c>
    </row>
    <row r="3" spans="1:10" x14ac:dyDescent="0.35">
      <c r="A3" s="13">
        <v>1</v>
      </c>
      <c r="B3" s="4" t="s">
        <v>9</v>
      </c>
      <c r="C3" s="4" t="s">
        <v>112</v>
      </c>
      <c r="D3" s="4">
        <v>1</v>
      </c>
      <c r="E3" s="4" t="s">
        <v>14</v>
      </c>
      <c r="F3" s="7">
        <v>460</v>
      </c>
      <c r="G3" s="9">
        <v>4.2</v>
      </c>
      <c r="H3" s="11">
        <f t="shared" ref="H3:H29" si="0">G3*F3</f>
        <v>1932</v>
      </c>
      <c r="I3" t="s">
        <v>115</v>
      </c>
      <c r="J3" t="s">
        <v>116</v>
      </c>
    </row>
    <row r="4" spans="1:10" x14ac:dyDescent="0.35">
      <c r="A4" s="13">
        <v>1</v>
      </c>
      <c r="B4" s="4" t="s">
        <v>9</v>
      </c>
      <c r="C4" s="16" t="s">
        <v>15</v>
      </c>
      <c r="D4" s="4">
        <v>1</v>
      </c>
      <c r="E4" s="4" t="s">
        <v>14</v>
      </c>
      <c r="F4" s="7">
        <v>550</v>
      </c>
      <c r="G4" s="9">
        <v>4.2</v>
      </c>
      <c r="H4" s="11">
        <f t="shared" si="0"/>
        <v>2310</v>
      </c>
      <c r="I4" t="s">
        <v>115</v>
      </c>
      <c r="J4" t="s">
        <v>116</v>
      </c>
    </row>
    <row r="5" spans="1:10" x14ac:dyDescent="0.35">
      <c r="A5" s="13">
        <v>1</v>
      </c>
      <c r="B5" s="4" t="s">
        <v>9</v>
      </c>
      <c r="C5" s="4" t="s">
        <v>113</v>
      </c>
      <c r="D5" s="4">
        <v>1</v>
      </c>
      <c r="E5" s="4" t="s">
        <v>14</v>
      </c>
      <c r="F5" s="7">
        <v>120</v>
      </c>
      <c r="G5" s="9">
        <v>4.8</v>
      </c>
      <c r="H5" s="11">
        <f t="shared" si="0"/>
        <v>576</v>
      </c>
      <c r="I5" t="s">
        <v>115</v>
      </c>
      <c r="J5" t="s">
        <v>116</v>
      </c>
    </row>
    <row r="6" spans="1:10" x14ac:dyDescent="0.35">
      <c r="A6" s="13">
        <v>1</v>
      </c>
      <c r="B6" s="4" t="s">
        <v>9</v>
      </c>
      <c r="C6" s="4" t="s">
        <v>114</v>
      </c>
      <c r="D6" s="4">
        <v>0</v>
      </c>
      <c r="E6" s="4" t="s">
        <v>14</v>
      </c>
      <c r="F6" s="7">
        <v>120</v>
      </c>
      <c r="G6" s="9">
        <v>4.8</v>
      </c>
      <c r="H6" s="11">
        <f t="shared" si="0"/>
        <v>576</v>
      </c>
      <c r="I6" t="s">
        <v>115</v>
      </c>
      <c r="J6" t="s">
        <v>116</v>
      </c>
    </row>
    <row r="7" spans="1:10" x14ac:dyDescent="0.35">
      <c r="A7" s="13">
        <v>1</v>
      </c>
      <c r="B7" s="4" t="s">
        <v>17</v>
      </c>
      <c r="C7" s="4" t="s">
        <v>27</v>
      </c>
      <c r="D7" s="4">
        <v>1</v>
      </c>
      <c r="E7" s="4" t="s">
        <v>14</v>
      </c>
      <c r="F7" s="7">
        <v>236</v>
      </c>
      <c r="G7" s="9">
        <v>4.5999999999999996</v>
      </c>
      <c r="H7" s="11">
        <f t="shared" si="0"/>
        <v>1085.5999999999999</v>
      </c>
      <c r="I7" t="s">
        <v>115</v>
      </c>
      <c r="J7" t="s">
        <v>116</v>
      </c>
    </row>
    <row r="8" spans="1:10" x14ac:dyDescent="0.35">
      <c r="A8" s="13">
        <v>1</v>
      </c>
      <c r="B8" s="4" t="s">
        <v>17</v>
      </c>
      <c r="C8" s="4" t="s">
        <v>28</v>
      </c>
      <c r="D8" s="4">
        <v>0</v>
      </c>
      <c r="E8" s="4" t="s">
        <v>14</v>
      </c>
      <c r="F8" s="7">
        <v>236</v>
      </c>
      <c r="G8" s="9">
        <v>4.5999999999999996</v>
      </c>
      <c r="H8" s="11">
        <f t="shared" si="0"/>
        <v>1085.5999999999999</v>
      </c>
      <c r="I8" t="s">
        <v>115</v>
      </c>
      <c r="J8" t="s">
        <v>116</v>
      </c>
    </row>
    <row r="9" spans="1:10" x14ac:dyDescent="0.35">
      <c r="A9" s="13">
        <v>1</v>
      </c>
      <c r="B9" s="4" t="s">
        <v>17</v>
      </c>
      <c r="C9" s="4" t="s">
        <v>29</v>
      </c>
      <c r="D9" s="4">
        <v>1</v>
      </c>
      <c r="E9" s="4" t="s">
        <v>14</v>
      </c>
      <c r="F9" s="7">
        <v>215</v>
      </c>
      <c r="G9" s="9">
        <v>5</v>
      </c>
      <c r="H9" s="11">
        <f t="shared" si="0"/>
        <v>1075</v>
      </c>
      <c r="I9" t="s">
        <v>115</v>
      </c>
      <c r="J9" t="s">
        <v>116</v>
      </c>
    </row>
    <row r="10" spans="1:10" x14ac:dyDescent="0.35">
      <c r="A10" s="13">
        <v>1</v>
      </c>
      <c r="B10" s="4" t="s">
        <v>17</v>
      </c>
      <c r="C10" s="4" t="s">
        <v>30</v>
      </c>
      <c r="D10" s="4">
        <v>0</v>
      </c>
      <c r="E10" s="4" t="s">
        <v>14</v>
      </c>
      <c r="F10" s="7">
        <v>215</v>
      </c>
      <c r="G10" s="9">
        <v>5</v>
      </c>
      <c r="H10" s="11">
        <f t="shared" si="0"/>
        <v>1075</v>
      </c>
      <c r="I10" t="s">
        <v>115</v>
      </c>
      <c r="J10" t="s">
        <v>116</v>
      </c>
    </row>
    <row r="11" spans="1:10" x14ac:dyDescent="0.35">
      <c r="A11" s="13">
        <v>1</v>
      </c>
      <c r="B11" s="4" t="s">
        <v>17</v>
      </c>
      <c r="C11" s="4" t="s">
        <v>31</v>
      </c>
      <c r="D11" s="4">
        <v>1</v>
      </c>
      <c r="E11" s="4" t="s">
        <v>14</v>
      </c>
      <c r="F11" s="7">
        <v>238</v>
      </c>
      <c r="G11" s="9">
        <v>4.8</v>
      </c>
      <c r="H11" s="11">
        <f t="shared" si="0"/>
        <v>1142.3999999999999</v>
      </c>
      <c r="I11" t="s">
        <v>115</v>
      </c>
      <c r="J11" t="s">
        <v>116</v>
      </c>
    </row>
    <row r="12" spans="1:10" x14ac:dyDescent="0.35">
      <c r="A12" s="13">
        <v>1</v>
      </c>
      <c r="B12" s="4" t="s">
        <v>17</v>
      </c>
      <c r="C12" s="4" t="s">
        <v>32</v>
      </c>
      <c r="D12" s="4">
        <v>0</v>
      </c>
      <c r="E12" s="4" t="s">
        <v>14</v>
      </c>
      <c r="F12" s="7">
        <v>238</v>
      </c>
      <c r="G12" s="9">
        <v>4.8</v>
      </c>
      <c r="H12" s="11">
        <f t="shared" si="0"/>
        <v>1142.3999999999999</v>
      </c>
      <c r="I12" t="s">
        <v>115</v>
      </c>
      <c r="J12" t="s">
        <v>116</v>
      </c>
    </row>
    <row r="13" spans="1:10" x14ac:dyDescent="0.35">
      <c r="A13" s="13">
        <v>4</v>
      </c>
      <c r="B13" s="4" t="s">
        <v>78</v>
      </c>
      <c r="C13" s="4" t="s">
        <v>79</v>
      </c>
      <c r="D13" s="4">
        <v>1</v>
      </c>
      <c r="E13" s="4" t="s">
        <v>14</v>
      </c>
      <c r="F13" s="7">
        <v>350</v>
      </c>
      <c r="G13" s="9">
        <v>4.9000000000000004</v>
      </c>
      <c r="H13" s="11">
        <f t="shared" si="0"/>
        <v>1715.0000000000002</v>
      </c>
      <c r="I13" t="s">
        <v>115</v>
      </c>
      <c r="J13" t="s">
        <v>116</v>
      </c>
    </row>
    <row r="14" spans="1:10" x14ac:dyDescent="0.35">
      <c r="A14" s="13">
        <v>4</v>
      </c>
      <c r="B14" s="4" t="s">
        <v>78</v>
      </c>
      <c r="C14" s="4" t="s">
        <v>80</v>
      </c>
      <c r="D14" s="4">
        <v>0</v>
      </c>
      <c r="E14" s="4" t="s">
        <v>14</v>
      </c>
      <c r="F14" s="7">
        <v>350</v>
      </c>
      <c r="G14" s="9">
        <v>4.9000000000000004</v>
      </c>
      <c r="H14" s="11">
        <f t="shared" si="0"/>
        <v>1715.0000000000002</v>
      </c>
      <c r="I14" t="s">
        <v>115</v>
      </c>
      <c r="J14" t="s">
        <v>116</v>
      </c>
    </row>
    <row r="15" spans="1:10" x14ac:dyDescent="0.35">
      <c r="A15" s="13">
        <v>4</v>
      </c>
      <c r="B15" s="4" t="s">
        <v>78</v>
      </c>
      <c r="C15" s="16" t="s">
        <v>81</v>
      </c>
      <c r="D15" s="4">
        <v>1</v>
      </c>
      <c r="E15" s="4" t="s">
        <v>14</v>
      </c>
      <c r="F15" s="7">
        <v>510</v>
      </c>
      <c r="G15" s="9">
        <v>4.7</v>
      </c>
      <c r="H15" s="11">
        <f t="shared" si="0"/>
        <v>2397</v>
      </c>
      <c r="I15" t="s">
        <v>115</v>
      </c>
      <c r="J15" t="s">
        <v>116</v>
      </c>
    </row>
    <row r="16" spans="1:10" x14ac:dyDescent="0.35">
      <c r="A16" s="13">
        <v>4</v>
      </c>
      <c r="B16" s="4" t="s">
        <v>78</v>
      </c>
      <c r="C16" s="16" t="s">
        <v>82</v>
      </c>
      <c r="D16" s="4">
        <v>0</v>
      </c>
      <c r="E16" s="4" t="s">
        <v>14</v>
      </c>
      <c r="F16" s="7">
        <v>404</v>
      </c>
      <c r="G16" s="9">
        <v>4.7</v>
      </c>
      <c r="H16" s="11">
        <f t="shared" si="0"/>
        <v>1898.8000000000002</v>
      </c>
      <c r="I16" t="s">
        <v>115</v>
      </c>
      <c r="J16" t="s">
        <v>116</v>
      </c>
    </row>
    <row r="17" spans="1:10" x14ac:dyDescent="0.35">
      <c r="A17" s="13">
        <v>4</v>
      </c>
      <c r="B17" s="4" t="s">
        <v>9</v>
      </c>
      <c r="C17" s="4" t="s">
        <v>83</v>
      </c>
      <c r="D17" s="4">
        <v>1</v>
      </c>
      <c r="E17" s="4" t="s">
        <v>12</v>
      </c>
      <c r="F17" s="7">
        <v>233</v>
      </c>
      <c r="G17" s="9">
        <v>5.4</v>
      </c>
      <c r="H17" s="11">
        <f t="shared" si="0"/>
        <v>1258.2</v>
      </c>
      <c r="I17" t="s">
        <v>119</v>
      </c>
      <c r="J17" t="s">
        <v>120</v>
      </c>
    </row>
    <row r="18" spans="1:10" x14ac:dyDescent="0.35">
      <c r="A18" s="13">
        <v>4</v>
      </c>
      <c r="B18" s="4" t="s">
        <v>9</v>
      </c>
      <c r="C18" s="4" t="s">
        <v>84</v>
      </c>
      <c r="D18" s="4">
        <v>0</v>
      </c>
      <c r="E18" s="4" t="s">
        <v>12</v>
      </c>
      <c r="F18" s="7">
        <v>233</v>
      </c>
      <c r="G18" s="9">
        <v>5.4</v>
      </c>
      <c r="H18" s="11">
        <f t="shared" si="0"/>
        <v>1258.2</v>
      </c>
      <c r="I18" t="s">
        <v>119</v>
      </c>
      <c r="J18" t="s">
        <v>120</v>
      </c>
    </row>
    <row r="19" spans="1:10" x14ac:dyDescent="0.35">
      <c r="A19" s="13">
        <v>4</v>
      </c>
      <c r="B19" s="4" t="s">
        <v>9</v>
      </c>
      <c r="C19" s="4" t="s">
        <v>85</v>
      </c>
      <c r="D19" s="4">
        <v>1</v>
      </c>
      <c r="E19" s="4" t="s">
        <v>12</v>
      </c>
      <c r="F19" s="7">
        <v>425</v>
      </c>
      <c r="G19" s="9">
        <v>5.6</v>
      </c>
      <c r="H19" s="11">
        <f t="shared" si="0"/>
        <v>2380</v>
      </c>
      <c r="I19" t="s">
        <v>119</v>
      </c>
      <c r="J19" t="s">
        <v>120</v>
      </c>
    </row>
    <row r="20" spans="1:10" x14ac:dyDescent="0.35">
      <c r="A20" s="13">
        <v>4</v>
      </c>
      <c r="B20" s="4" t="s">
        <v>9</v>
      </c>
      <c r="C20" s="4" t="s">
        <v>86</v>
      </c>
      <c r="D20" s="4">
        <v>1</v>
      </c>
      <c r="E20" s="4" t="s">
        <v>12</v>
      </c>
      <c r="F20" s="7">
        <v>425</v>
      </c>
      <c r="G20" s="9">
        <v>5.6</v>
      </c>
      <c r="H20" s="11">
        <f t="shared" si="0"/>
        <v>2380</v>
      </c>
      <c r="I20" t="s">
        <v>119</v>
      </c>
      <c r="J20" t="s">
        <v>120</v>
      </c>
    </row>
    <row r="21" spans="1:10" x14ac:dyDescent="0.35">
      <c r="A21" s="13">
        <v>4</v>
      </c>
      <c r="B21" s="4" t="s">
        <v>87</v>
      </c>
      <c r="C21" s="4" t="s">
        <v>88</v>
      </c>
      <c r="D21" s="4">
        <v>1</v>
      </c>
      <c r="E21" s="4" t="s">
        <v>12</v>
      </c>
      <c r="F21" s="7">
        <v>135</v>
      </c>
      <c r="G21" s="9">
        <v>7.05</v>
      </c>
      <c r="H21" s="11">
        <f t="shared" si="0"/>
        <v>951.75</v>
      </c>
      <c r="I21" t="s">
        <v>119</v>
      </c>
      <c r="J21" t="s">
        <v>120</v>
      </c>
    </row>
    <row r="22" spans="1:10" x14ac:dyDescent="0.35">
      <c r="A22" s="13">
        <v>4</v>
      </c>
      <c r="B22" s="4" t="s">
        <v>87</v>
      </c>
      <c r="C22" s="4" t="s">
        <v>89</v>
      </c>
      <c r="D22" s="4">
        <v>0</v>
      </c>
      <c r="E22" s="4" t="s">
        <v>12</v>
      </c>
      <c r="F22" s="7">
        <v>135</v>
      </c>
      <c r="G22" s="9">
        <v>7.05</v>
      </c>
      <c r="H22" s="11">
        <f t="shared" si="0"/>
        <v>951.75</v>
      </c>
      <c r="I22" t="s">
        <v>119</v>
      </c>
      <c r="J22" t="s">
        <v>120</v>
      </c>
    </row>
    <row r="23" spans="1:10" x14ac:dyDescent="0.35">
      <c r="A23" s="13">
        <v>4</v>
      </c>
      <c r="B23" s="4" t="s">
        <v>90</v>
      </c>
      <c r="C23" s="4" t="s">
        <v>88</v>
      </c>
      <c r="D23" s="4">
        <v>1</v>
      </c>
      <c r="E23" s="4" t="s">
        <v>12</v>
      </c>
      <c r="F23" s="7">
        <v>135</v>
      </c>
      <c r="G23" s="9">
        <v>7.05</v>
      </c>
      <c r="H23" s="11">
        <f t="shared" si="0"/>
        <v>951.75</v>
      </c>
      <c r="I23" t="s">
        <v>119</v>
      </c>
      <c r="J23" t="s">
        <v>120</v>
      </c>
    </row>
    <row r="24" spans="1:10" x14ac:dyDescent="0.35">
      <c r="A24" s="13">
        <v>4</v>
      </c>
      <c r="B24" s="4" t="s">
        <v>90</v>
      </c>
      <c r="C24" s="4" t="s">
        <v>89</v>
      </c>
      <c r="D24" s="4">
        <v>0</v>
      </c>
      <c r="E24" s="4" t="s">
        <v>12</v>
      </c>
      <c r="F24" s="7">
        <v>135</v>
      </c>
      <c r="G24" s="9">
        <v>7.05</v>
      </c>
      <c r="H24" s="11">
        <f t="shared" si="0"/>
        <v>951.75</v>
      </c>
      <c r="I24" t="s">
        <v>119</v>
      </c>
      <c r="J24" t="s">
        <v>120</v>
      </c>
    </row>
    <row r="25" spans="1:10" x14ac:dyDescent="0.35">
      <c r="A25" s="13">
        <v>4</v>
      </c>
      <c r="B25" s="4" t="s">
        <v>9</v>
      </c>
      <c r="C25" s="4" t="s">
        <v>91</v>
      </c>
      <c r="D25" s="4">
        <v>1</v>
      </c>
      <c r="E25" s="4" t="s">
        <v>12</v>
      </c>
      <c r="F25" s="7">
        <v>425</v>
      </c>
      <c r="G25" s="9">
        <v>5.6</v>
      </c>
      <c r="H25" s="11">
        <f t="shared" si="0"/>
        <v>2380</v>
      </c>
      <c r="I25" t="s">
        <v>119</v>
      </c>
      <c r="J25" t="s">
        <v>120</v>
      </c>
    </row>
    <row r="26" spans="1:10" x14ac:dyDescent="0.35">
      <c r="A26" s="13">
        <v>4</v>
      </c>
      <c r="B26" s="4" t="s">
        <v>9</v>
      </c>
      <c r="C26" s="4" t="s">
        <v>92</v>
      </c>
      <c r="D26" s="4">
        <v>1</v>
      </c>
      <c r="E26" s="4" t="s">
        <v>12</v>
      </c>
      <c r="F26" s="7">
        <v>425</v>
      </c>
      <c r="G26" s="9">
        <v>5.6</v>
      </c>
      <c r="H26" s="11">
        <f t="shared" si="0"/>
        <v>2380</v>
      </c>
      <c r="I26" t="s">
        <v>119</v>
      </c>
      <c r="J26" t="s">
        <v>120</v>
      </c>
    </row>
    <row r="27" spans="1:10" x14ac:dyDescent="0.35">
      <c r="A27" s="13">
        <v>4</v>
      </c>
      <c r="B27" s="4" t="s">
        <v>54</v>
      </c>
      <c r="C27" s="4" t="s">
        <v>93</v>
      </c>
      <c r="D27" s="4">
        <v>1</v>
      </c>
      <c r="E27" s="4" t="s">
        <v>14</v>
      </c>
      <c r="F27" s="7">
        <v>310</v>
      </c>
      <c r="G27" s="9">
        <v>4.8</v>
      </c>
      <c r="H27" s="11">
        <f t="shared" si="0"/>
        <v>1488</v>
      </c>
      <c r="I27" t="s">
        <v>115</v>
      </c>
      <c r="J27" t="s">
        <v>116</v>
      </c>
    </row>
    <row r="28" spans="1:10" x14ac:dyDescent="0.35">
      <c r="A28" s="13">
        <v>4</v>
      </c>
      <c r="B28" s="4" t="s">
        <v>54</v>
      </c>
      <c r="C28" s="4" t="s">
        <v>94</v>
      </c>
      <c r="D28" s="16">
        <v>0</v>
      </c>
      <c r="E28" s="4" t="s">
        <v>14</v>
      </c>
      <c r="F28" s="7">
        <v>310</v>
      </c>
      <c r="G28" s="9">
        <v>4.8</v>
      </c>
      <c r="H28" s="11">
        <f t="shared" si="0"/>
        <v>1488</v>
      </c>
      <c r="I28" t="s">
        <v>115</v>
      </c>
      <c r="J28" t="s">
        <v>116</v>
      </c>
    </row>
    <row r="29" spans="1:10" x14ac:dyDescent="0.35">
      <c r="A29" s="13">
        <v>4</v>
      </c>
      <c r="B29" s="4" t="s">
        <v>54</v>
      </c>
      <c r="C29" s="4" t="s">
        <v>95</v>
      </c>
      <c r="D29" s="4">
        <v>1</v>
      </c>
      <c r="E29" s="4" t="s">
        <v>40</v>
      </c>
      <c r="F29" s="7">
        <v>200</v>
      </c>
      <c r="G29" s="9">
        <v>4.8</v>
      </c>
      <c r="H29" s="11">
        <f t="shared" si="0"/>
        <v>960</v>
      </c>
      <c r="I29" t="s">
        <v>115</v>
      </c>
      <c r="J29" t="s">
        <v>116</v>
      </c>
    </row>
    <row r="30" spans="1:10" x14ac:dyDescent="0.35">
      <c r="H30">
        <v>3960</v>
      </c>
    </row>
    <row r="32" spans="1:10" x14ac:dyDescent="0.35">
      <c r="G32" s="18"/>
      <c r="H32" s="12"/>
    </row>
    <row r="39" spans="8:8" x14ac:dyDescent="0.35">
      <c r="H39">
        <v>832</v>
      </c>
    </row>
    <row r="40" spans="8:8" x14ac:dyDescent="0.35">
      <c r="H40">
        <v>880</v>
      </c>
    </row>
    <row r="41" spans="8:8" x14ac:dyDescent="0.35">
      <c r="H41">
        <v>4.7</v>
      </c>
    </row>
    <row r="42" spans="8:8" x14ac:dyDescent="0.35">
      <c r="H42">
        <f>H40*H41</f>
        <v>4136</v>
      </c>
    </row>
    <row r="43" spans="8:8" x14ac:dyDescent="0.35">
      <c r="H43">
        <f>H39+H42</f>
        <v>4968</v>
      </c>
    </row>
  </sheetData>
  <mergeCells count="1">
    <mergeCell ref="G1:H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0B07-67D2-4ED7-85B8-601268E38C45}">
  <dimension ref="A1:J25"/>
  <sheetViews>
    <sheetView topLeftCell="A8" workbookViewId="0">
      <selection activeCell="I3" sqref="I3:J6"/>
    </sheetView>
  </sheetViews>
  <sheetFormatPr defaultRowHeight="14.5" x14ac:dyDescent="0.35"/>
  <cols>
    <col min="2" max="2" width="12.453125" bestFit="1" customWidth="1"/>
    <col min="3" max="3" width="41.36328125" bestFit="1" customWidth="1"/>
    <col min="4" max="4" width="4" customWidth="1"/>
    <col min="5" max="8" width="11.6328125" customWidth="1"/>
    <col min="9" max="9" width="11.81640625" bestFit="1" customWidth="1"/>
  </cols>
  <sheetData>
    <row r="1" spans="1:10" x14ac:dyDescent="0.35">
      <c r="G1" s="22" t="s">
        <v>57</v>
      </c>
      <c r="H1" s="22"/>
      <c r="I1" s="22"/>
    </row>
    <row r="2" spans="1:10" x14ac:dyDescent="0.35">
      <c r="A2" s="1" t="s">
        <v>0</v>
      </c>
      <c r="B2" s="1" t="s">
        <v>3</v>
      </c>
      <c r="C2" s="5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1</v>
      </c>
      <c r="I2" s="3" t="s">
        <v>117</v>
      </c>
      <c r="J2" s="21" t="s">
        <v>118</v>
      </c>
    </row>
    <row r="3" spans="1:10" ht="19.75" customHeight="1" x14ac:dyDescent="0.35">
      <c r="A3" s="19">
        <v>3</v>
      </c>
      <c r="B3" s="16" t="s">
        <v>23</v>
      </c>
      <c r="C3" s="16" t="s">
        <v>58</v>
      </c>
      <c r="D3" s="16">
        <v>1</v>
      </c>
      <c r="E3" s="16" t="s">
        <v>14</v>
      </c>
      <c r="F3" s="20">
        <v>387</v>
      </c>
      <c r="G3" s="10">
        <v>4.08</v>
      </c>
      <c r="H3" s="15">
        <f>G3*F3</f>
        <v>1578.96</v>
      </c>
      <c r="I3" t="s">
        <v>115</v>
      </c>
      <c r="J3" t="s">
        <v>116</v>
      </c>
    </row>
    <row r="4" spans="1:10" ht="19.75" customHeight="1" x14ac:dyDescent="0.35">
      <c r="A4" s="19">
        <v>3</v>
      </c>
      <c r="B4" s="16" t="s">
        <v>23</v>
      </c>
      <c r="C4" s="16" t="s">
        <v>59</v>
      </c>
      <c r="D4" s="16">
        <v>1</v>
      </c>
      <c r="E4" s="16" t="s">
        <v>14</v>
      </c>
      <c r="F4" s="20">
        <v>387</v>
      </c>
      <c r="G4" s="10">
        <v>4.08</v>
      </c>
      <c r="H4" s="15">
        <f>G4*F4</f>
        <v>1578.96</v>
      </c>
      <c r="I4" t="s">
        <v>115</v>
      </c>
      <c r="J4" t="s">
        <v>116</v>
      </c>
    </row>
    <row r="5" spans="1:10" ht="19.75" customHeight="1" x14ac:dyDescent="0.35">
      <c r="A5" s="13">
        <v>3</v>
      </c>
      <c r="B5" s="4" t="s">
        <v>23</v>
      </c>
      <c r="C5" s="4" t="s">
        <v>60</v>
      </c>
      <c r="D5" s="4">
        <v>1</v>
      </c>
      <c r="E5" s="4" t="s">
        <v>14</v>
      </c>
      <c r="F5" s="7">
        <v>255</v>
      </c>
      <c r="G5" s="10">
        <v>4.08</v>
      </c>
      <c r="H5" s="11">
        <f>G6*F5</f>
        <v>1040.4000000000001</v>
      </c>
      <c r="I5" t="s">
        <v>115</v>
      </c>
      <c r="J5" t="s">
        <v>116</v>
      </c>
    </row>
    <row r="6" spans="1:10" ht="19.75" customHeight="1" x14ac:dyDescent="0.35">
      <c r="A6" s="13">
        <v>3</v>
      </c>
      <c r="B6" s="4" t="s">
        <v>23</v>
      </c>
      <c r="C6" s="4" t="s">
        <v>61</v>
      </c>
      <c r="D6" s="4">
        <v>0</v>
      </c>
      <c r="E6" s="4" t="s">
        <v>14</v>
      </c>
      <c r="F6" s="7">
        <v>257</v>
      </c>
      <c r="G6" s="10">
        <v>4.08</v>
      </c>
      <c r="H6" s="11">
        <f t="shared" ref="H6:H17" si="0">G6*F6</f>
        <v>1048.56</v>
      </c>
      <c r="I6" t="s">
        <v>115</v>
      </c>
      <c r="J6" t="s">
        <v>116</v>
      </c>
    </row>
    <row r="7" spans="1:10" ht="19.75" customHeight="1" x14ac:dyDescent="0.35">
      <c r="A7" s="13">
        <v>3</v>
      </c>
      <c r="B7" s="4" t="s">
        <v>23</v>
      </c>
      <c r="C7" s="4" t="s">
        <v>62</v>
      </c>
      <c r="D7" s="4">
        <v>1</v>
      </c>
      <c r="E7" s="4" t="s">
        <v>14</v>
      </c>
      <c r="F7" s="7">
        <v>328</v>
      </c>
      <c r="G7" s="10">
        <v>4.08</v>
      </c>
      <c r="H7" s="11">
        <f t="shared" si="0"/>
        <v>1338.24</v>
      </c>
      <c r="I7" t="s">
        <v>115</v>
      </c>
      <c r="J7" t="s">
        <v>116</v>
      </c>
    </row>
    <row r="8" spans="1:10" ht="19.75" customHeight="1" x14ac:dyDescent="0.35">
      <c r="A8" s="13">
        <v>3</v>
      </c>
      <c r="B8" s="4" t="s">
        <v>23</v>
      </c>
      <c r="C8" s="4" t="s">
        <v>63</v>
      </c>
      <c r="D8" s="4">
        <v>0</v>
      </c>
      <c r="E8" s="4" t="s">
        <v>14</v>
      </c>
      <c r="F8" s="7">
        <v>328</v>
      </c>
      <c r="G8" s="10">
        <v>4.08</v>
      </c>
      <c r="H8" s="11">
        <f t="shared" si="0"/>
        <v>1338.24</v>
      </c>
      <c r="I8" t="s">
        <v>115</v>
      </c>
      <c r="J8" t="s">
        <v>116</v>
      </c>
    </row>
    <row r="9" spans="1:10" ht="19.75" customHeight="1" x14ac:dyDescent="0.35">
      <c r="A9" s="13">
        <v>3</v>
      </c>
      <c r="B9" s="4" t="s">
        <v>23</v>
      </c>
      <c r="C9" s="4" t="s">
        <v>64</v>
      </c>
      <c r="D9" s="4">
        <v>1</v>
      </c>
      <c r="E9" s="4" t="s">
        <v>14</v>
      </c>
      <c r="F9" s="7">
        <v>215</v>
      </c>
      <c r="G9" s="8">
        <v>4.08</v>
      </c>
      <c r="H9" s="11">
        <f t="shared" si="0"/>
        <v>877.2</v>
      </c>
      <c r="I9" t="s">
        <v>115</v>
      </c>
      <c r="J9" t="s">
        <v>116</v>
      </c>
    </row>
    <row r="10" spans="1:10" ht="19.75" customHeight="1" x14ac:dyDescent="0.35">
      <c r="A10" s="13">
        <v>3</v>
      </c>
      <c r="B10" s="4" t="s">
        <v>23</v>
      </c>
      <c r="C10" s="4" t="s">
        <v>65</v>
      </c>
      <c r="D10" s="4">
        <v>0</v>
      </c>
      <c r="E10" s="4" t="s">
        <v>14</v>
      </c>
      <c r="F10" s="7">
        <v>215</v>
      </c>
      <c r="G10" s="8">
        <v>4.08</v>
      </c>
      <c r="H10" s="11">
        <f t="shared" si="0"/>
        <v>877.2</v>
      </c>
      <c r="I10" t="s">
        <v>115</v>
      </c>
      <c r="J10" t="s">
        <v>116</v>
      </c>
    </row>
    <row r="11" spans="1:10" ht="19.75" customHeight="1" x14ac:dyDescent="0.35">
      <c r="A11" s="13">
        <v>3</v>
      </c>
      <c r="B11" s="4" t="s">
        <v>23</v>
      </c>
      <c r="C11" s="4" t="s">
        <v>66</v>
      </c>
      <c r="D11" s="4">
        <v>1</v>
      </c>
      <c r="E11" s="4" t="s">
        <v>14</v>
      </c>
      <c r="F11" s="7">
        <v>235</v>
      </c>
      <c r="G11" s="8">
        <v>4.08</v>
      </c>
      <c r="H11" s="11">
        <f t="shared" si="0"/>
        <v>958.80000000000007</v>
      </c>
      <c r="I11" t="s">
        <v>115</v>
      </c>
      <c r="J11" t="s">
        <v>116</v>
      </c>
    </row>
    <row r="12" spans="1:10" ht="19.75" customHeight="1" x14ac:dyDescent="0.35">
      <c r="A12" s="13">
        <v>3</v>
      </c>
      <c r="B12" s="4" t="s">
        <v>23</v>
      </c>
      <c r="C12" s="4" t="s">
        <v>67</v>
      </c>
      <c r="D12" s="4">
        <v>1</v>
      </c>
      <c r="E12" s="4" t="s">
        <v>14</v>
      </c>
      <c r="F12" s="7">
        <v>192</v>
      </c>
      <c r="G12" s="8">
        <v>4.08</v>
      </c>
      <c r="H12" s="11">
        <f t="shared" si="0"/>
        <v>783.36</v>
      </c>
      <c r="I12" t="s">
        <v>115</v>
      </c>
      <c r="J12" t="s">
        <v>116</v>
      </c>
    </row>
    <row r="13" spans="1:10" ht="19.75" customHeight="1" x14ac:dyDescent="0.35">
      <c r="A13" s="13">
        <v>3</v>
      </c>
      <c r="B13" s="4" t="s">
        <v>23</v>
      </c>
      <c r="C13" s="4" t="s">
        <v>68</v>
      </c>
      <c r="D13" s="4">
        <v>0</v>
      </c>
      <c r="E13" s="4" t="s">
        <v>14</v>
      </c>
      <c r="F13" s="7">
        <v>192</v>
      </c>
      <c r="G13" s="8">
        <v>4.08</v>
      </c>
      <c r="H13" s="11">
        <f t="shared" si="0"/>
        <v>783.36</v>
      </c>
      <c r="I13" t="s">
        <v>115</v>
      </c>
      <c r="J13" t="s">
        <v>116</v>
      </c>
    </row>
    <row r="14" spans="1:10" ht="19.75" customHeight="1" x14ac:dyDescent="0.35">
      <c r="A14" s="13">
        <v>3</v>
      </c>
      <c r="B14" s="4" t="s">
        <v>23</v>
      </c>
      <c r="C14" s="4" t="s">
        <v>69</v>
      </c>
      <c r="D14" s="4">
        <v>1</v>
      </c>
      <c r="E14" s="4" t="s">
        <v>14</v>
      </c>
      <c r="F14" s="7">
        <v>216</v>
      </c>
      <c r="G14" s="8">
        <v>4.08</v>
      </c>
      <c r="H14" s="11">
        <f t="shared" si="0"/>
        <v>881.28</v>
      </c>
      <c r="I14" t="s">
        <v>115</v>
      </c>
      <c r="J14" t="s">
        <v>116</v>
      </c>
    </row>
    <row r="15" spans="1:10" ht="19.75" customHeight="1" x14ac:dyDescent="0.35">
      <c r="A15" s="13">
        <v>3</v>
      </c>
      <c r="B15" s="4" t="s">
        <v>23</v>
      </c>
      <c r="C15" s="4" t="s">
        <v>70</v>
      </c>
      <c r="D15" s="4">
        <v>0</v>
      </c>
      <c r="E15" s="4" t="s">
        <v>14</v>
      </c>
      <c r="F15" s="7">
        <v>216</v>
      </c>
      <c r="G15" s="8">
        <v>4.08</v>
      </c>
      <c r="H15" s="11">
        <f t="shared" si="0"/>
        <v>881.28</v>
      </c>
      <c r="I15" t="s">
        <v>115</v>
      </c>
      <c r="J15" t="s">
        <v>116</v>
      </c>
    </row>
    <row r="16" spans="1:10" ht="19.75" customHeight="1" x14ac:dyDescent="0.35">
      <c r="A16" s="13">
        <v>3</v>
      </c>
      <c r="B16" s="4" t="s">
        <v>17</v>
      </c>
      <c r="C16" s="4" t="s">
        <v>71</v>
      </c>
      <c r="D16" s="4">
        <v>1</v>
      </c>
      <c r="E16" s="4" t="s">
        <v>72</v>
      </c>
      <c r="F16" s="7">
        <v>155</v>
      </c>
      <c r="G16" s="8">
        <v>3.4</v>
      </c>
      <c r="H16" s="11">
        <f t="shared" si="0"/>
        <v>527</v>
      </c>
      <c r="I16" t="s">
        <v>123</v>
      </c>
      <c r="J16" t="s">
        <v>124</v>
      </c>
    </row>
    <row r="17" spans="1:10" ht="19.75" customHeight="1" x14ac:dyDescent="0.35">
      <c r="A17" s="13">
        <v>3</v>
      </c>
      <c r="B17" s="4" t="s">
        <v>17</v>
      </c>
      <c r="C17" s="4" t="s">
        <v>73</v>
      </c>
      <c r="D17" s="4">
        <v>0</v>
      </c>
      <c r="E17" s="4" t="s">
        <v>72</v>
      </c>
      <c r="F17" s="7">
        <v>155</v>
      </c>
      <c r="G17" s="8">
        <v>3.4</v>
      </c>
      <c r="H17" s="11">
        <f t="shared" si="0"/>
        <v>527</v>
      </c>
      <c r="I17" t="s">
        <v>123</v>
      </c>
      <c r="J17" t="s">
        <v>124</v>
      </c>
    </row>
    <row r="19" spans="1:10" x14ac:dyDescent="0.35">
      <c r="G19" s="18"/>
      <c r="H19" s="12"/>
    </row>
    <row r="22" spans="1:10" x14ac:dyDescent="0.35">
      <c r="H22" s="12"/>
    </row>
    <row r="23" spans="1:10" x14ac:dyDescent="0.35">
      <c r="H23" s="12"/>
    </row>
    <row r="25" spans="1:10" x14ac:dyDescent="0.35">
      <c r="H25" s="12"/>
    </row>
  </sheetData>
  <mergeCells count="1">
    <mergeCell ref="G1:I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1028C-9197-4679-91BE-3A84F2D656C0}">
  <dimension ref="A1:J32"/>
  <sheetViews>
    <sheetView tabSelected="1" workbookViewId="0">
      <selection activeCell="J3" sqref="J3"/>
    </sheetView>
  </sheetViews>
  <sheetFormatPr defaultRowHeight="14.5" x14ac:dyDescent="0.35"/>
  <cols>
    <col min="2" max="2" width="12.453125" bestFit="1" customWidth="1"/>
    <col min="3" max="3" width="47.6328125" bestFit="1" customWidth="1"/>
    <col min="4" max="4" width="3.6328125" customWidth="1"/>
    <col min="5" max="5" width="11.6328125" customWidth="1"/>
    <col min="6" max="6" width="11.90625" bestFit="1" customWidth="1"/>
    <col min="7" max="8" width="11.6328125" customWidth="1"/>
    <col min="9" max="9" width="13.36328125" bestFit="1" customWidth="1"/>
    <col min="10" max="10" width="17" bestFit="1" customWidth="1"/>
  </cols>
  <sheetData>
    <row r="1" spans="1:10" x14ac:dyDescent="0.35">
      <c r="G1" s="22" t="s">
        <v>56</v>
      </c>
      <c r="H1" s="22"/>
      <c r="I1" s="22"/>
    </row>
    <row r="2" spans="1:10" x14ac:dyDescent="0.35">
      <c r="A2" s="1" t="s">
        <v>0</v>
      </c>
      <c r="B2" s="1" t="s">
        <v>3</v>
      </c>
      <c r="C2" s="5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3" t="s">
        <v>1</v>
      </c>
      <c r="I2" s="3" t="s">
        <v>117</v>
      </c>
      <c r="J2" s="21" t="s">
        <v>125</v>
      </c>
    </row>
    <row r="3" spans="1:10" x14ac:dyDescent="0.35">
      <c r="A3" s="13">
        <v>1</v>
      </c>
      <c r="B3" s="4" t="s">
        <v>11</v>
      </c>
      <c r="C3" s="16" t="s">
        <v>18</v>
      </c>
      <c r="D3" s="4">
        <v>0</v>
      </c>
      <c r="E3" s="4" t="s">
        <v>14</v>
      </c>
      <c r="F3" s="7">
        <v>190</v>
      </c>
      <c r="G3" s="9">
        <v>4.0999999999999996</v>
      </c>
      <c r="H3" s="11">
        <f t="shared" ref="H3:H26" si="0">G3*F3</f>
        <v>778.99999999999989</v>
      </c>
      <c r="I3" t="s">
        <v>115</v>
      </c>
      <c r="J3" t="s">
        <v>116</v>
      </c>
    </row>
    <row r="4" spans="1:10" x14ac:dyDescent="0.35">
      <c r="A4" s="13">
        <v>1</v>
      </c>
      <c r="B4" s="4" t="s">
        <v>11</v>
      </c>
      <c r="C4" s="16" t="s">
        <v>19</v>
      </c>
      <c r="D4" s="4">
        <v>0</v>
      </c>
      <c r="E4" s="4" t="s">
        <v>14</v>
      </c>
      <c r="F4" s="7">
        <v>190</v>
      </c>
      <c r="G4" s="9">
        <v>4.0999999999999996</v>
      </c>
      <c r="H4" s="11">
        <f t="shared" si="0"/>
        <v>778.99999999999989</v>
      </c>
      <c r="I4" t="s">
        <v>115</v>
      </c>
      <c r="J4" t="s">
        <v>116</v>
      </c>
    </row>
    <row r="5" spans="1:10" x14ac:dyDescent="0.35">
      <c r="A5" s="13">
        <v>1</v>
      </c>
      <c r="B5" s="4" t="s">
        <v>11</v>
      </c>
      <c r="C5" s="4" t="s">
        <v>20</v>
      </c>
      <c r="D5" s="4">
        <v>0</v>
      </c>
      <c r="E5" s="4" t="s">
        <v>14</v>
      </c>
      <c r="F5" s="7">
        <v>85</v>
      </c>
      <c r="G5" s="9">
        <v>4.9000000000000004</v>
      </c>
      <c r="H5" s="11">
        <f t="shared" si="0"/>
        <v>416.50000000000006</v>
      </c>
      <c r="I5" t="s">
        <v>115</v>
      </c>
      <c r="J5" t="s">
        <v>116</v>
      </c>
    </row>
    <row r="6" spans="1:10" x14ac:dyDescent="0.35">
      <c r="A6" s="13">
        <v>1</v>
      </c>
      <c r="B6" s="4" t="s">
        <v>11</v>
      </c>
      <c r="C6" s="4" t="s">
        <v>21</v>
      </c>
      <c r="D6" s="4">
        <v>0</v>
      </c>
      <c r="E6" s="4" t="s">
        <v>14</v>
      </c>
      <c r="F6" s="7">
        <v>85</v>
      </c>
      <c r="G6" s="9">
        <v>4.9000000000000004</v>
      </c>
      <c r="H6" s="11">
        <f t="shared" si="0"/>
        <v>416.50000000000006</v>
      </c>
      <c r="I6" t="s">
        <v>115</v>
      </c>
      <c r="J6" t="s">
        <v>116</v>
      </c>
    </row>
    <row r="7" spans="1:10" x14ac:dyDescent="0.35">
      <c r="A7" s="13">
        <v>2</v>
      </c>
      <c r="B7" s="4" t="s">
        <v>33</v>
      </c>
      <c r="C7" s="16" t="s">
        <v>34</v>
      </c>
      <c r="D7" s="4">
        <v>0</v>
      </c>
      <c r="E7" s="4" t="s">
        <v>14</v>
      </c>
      <c r="F7" s="7">
        <v>157</v>
      </c>
      <c r="G7" s="10">
        <v>4.0999999999999996</v>
      </c>
      <c r="H7" s="11">
        <f t="shared" si="0"/>
        <v>643.69999999999993</v>
      </c>
      <c r="I7" t="s">
        <v>115</v>
      </c>
      <c r="J7" t="s">
        <v>116</v>
      </c>
    </row>
    <row r="8" spans="1:10" x14ac:dyDescent="0.35">
      <c r="A8" s="13">
        <v>2</v>
      </c>
      <c r="B8" s="4" t="s">
        <v>33</v>
      </c>
      <c r="C8" s="16" t="s">
        <v>35</v>
      </c>
      <c r="D8" s="4">
        <v>0</v>
      </c>
      <c r="E8" s="4" t="s">
        <v>14</v>
      </c>
      <c r="F8" s="7">
        <v>157</v>
      </c>
      <c r="G8" s="10">
        <v>4.0999999999999996</v>
      </c>
      <c r="H8" s="11">
        <f t="shared" si="0"/>
        <v>643.69999999999993</v>
      </c>
      <c r="I8" t="s">
        <v>115</v>
      </c>
      <c r="J8" t="s">
        <v>116</v>
      </c>
    </row>
    <row r="9" spans="1:10" x14ac:dyDescent="0.35">
      <c r="A9" s="13">
        <v>2</v>
      </c>
      <c r="B9" s="4" t="s">
        <v>33</v>
      </c>
      <c r="C9" s="16" t="s">
        <v>51</v>
      </c>
      <c r="D9" s="4">
        <v>1</v>
      </c>
      <c r="E9" s="4" t="s">
        <v>14</v>
      </c>
      <c r="F9" s="7">
        <v>392</v>
      </c>
      <c r="G9" s="10">
        <v>4.3</v>
      </c>
      <c r="H9" s="11">
        <f t="shared" si="0"/>
        <v>1685.6</v>
      </c>
      <c r="I9" t="s">
        <v>115</v>
      </c>
      <c r="J9" t="s">
        <v>116</v>
      </c>
    </row>
    <row r="10" spans="1:10" x14ac:dyDescent="0.35">
      <c r="A10" s="13">
        <v>2</v>
      </c>
      <c r="B10" s="4" t="s">
        <v>33</v>
      </c>
      <c r="C10" s="16" t="s">
        <v>52</v>
      </c>
      <c r="D10" s="4">
        <v>1</v>
      </c>
      <c r="E10" s="4" t="s">
        <v>14</v>
      </c>
      <c r="F10" s="7">
        <v>392</v>
      </c>
      <c r="G10" s="10">
        <v>4.3</v>
      </c>
      <c r="H10" s="11">
        <f t="shared" si="0"/>
        <v>1685.6</v>
      </c>
      <c r="I10" t="s">
        <v>115</v>
      </c>
      <c r="J10" t="s">
        <v>116</v>
      </c>
    </row>
    <row r="11" spans="1:10" x14ac:dyDescent="0.35">
      <c r="A11" s="13">
        <v>3</v>
      </c>
      <c r="B11" s="4" t="s">
        <v>17</v>
      </c>
      <c r="C11" s="4" t="s">
        <v>74</v>
      </c>
      <c r="D11" s="4">
        <v>1</v>
      </c>
      <c r="E11" s="4" t="s">
        <v>14</v>
      </c>
      <c r="F11" s="7">
        <v>465</v>
      </c>
      <c r="G11" s="9">
        <v>4.3499999999999996</v>
      </c>
      <c r="H11" s="11">
        <f t="shared" si="0"/>
        <v>2022.7499999999998</v>
      </c>
      <c r="I11" t="s">
        <v>115</v>
      </c>
      <c r="J11" t="s">
        <v>116</v>
      </c>
    </row>
    <row r="12" spans="1:10" x14ac:dyDescent="0.35">
      <c r="A12" s="13">
        <v>3</v>
      </c>
      <c r="B12" s="4" t="s">
        <v>17</v>
      </c>
      <c r="C12" s="4" t="s">
        <v>75</v>
      </c>
      <c r="D12" s="4">
        <v>1</v>
      </c>
      <c r="E12" s="4" t="s">
        <v>14</v>
      </c>
      <c r="F12" s="7">
        <v>465</v>
      </c>
      <c r="G12" s="9">
        <v>4.3499999999999996</v>
      </c>
      <c r="H12" s="11">
        <f t="shared" si="0"/>
        <v>2022.7499999999998</v>
      </c>
      <c r="I12" t="s">
        <v>115</v>
      </c>
      <c r="J12" t="s">
        <v>116</v>
      </c>
    </row>
    <row r="13" spans="1:10" x14ac:dyDescent="0.35">
      <c r="A13" s="13">
        <v>3</v>
      </c>
      <c r="B13" s="4" t="s">
        <v>9</v>
      </c>
      <c r="C13" s="4" t="s">
        <v>76</v>
      </c>
      <c r="D13" s="4">
        <v>1</v>
      </c>
      <c r="E13" s="4" t="s">
        <v>14</v>
      </c>
      <c r="F13" s="7">
        <v>497</v>
      </c>
      <c r="G13" s="9">
        <v>4.2</v>
      </c>
      <c r="H13" s="11">
        <f t="shared" si="0"/>
        <v>2087.4</v>
      </c>
      <c r="I13" t="s">
        <v>115</v>
      </c>
      <c r="J13" t="s">
        <v>116</v>
      </c>
    </row>
    <row r="14" spans="1:10" x14ac:dyDescent="0.35">
      <c r="A14" s="13">
        <v>3</v>
      </c>
      <c r="B14" s="4" t="s">
        <v>9</v>
      </c>
      <c r="C14" s="4" t="s">
        <v>77</v>
      </c>
      <c r="D14" s="4">
        <v>1</v>
      </c>
      <c r="E14" s="4" t="s">
        <v>14</v>
      </c>
      <c r="F14" s="7">
        <v>497</v>
      </c>
      <c r="G14" s="9">
        <v>4.2</v>
      </c>
      <c r="H14" s="11">
        <f t="shared" si="0"/>
        <v>2087.4</v>
      </c>
      <c r="I14" t="s">
        <v>115</v>
      </c>
      <c r="J14" t="s">
        <v>116</v>
      </c>
    </row>
    <row r="15" spans="1:10" x14ac:dyDescent="0.35">
      <c r="A15" s="13">
        <v>5</v>
      </c>
      <c r="B15" s="4" t="s">
        <v>16</v>
      </c>
      <c r="C15" s="4" t="s">
        <v>106</v>
      </c>
      <c r="D15" s="4">
        <v>1</v>
      </c>
      <c r="E15" s="4" t="s">
        <v>14</v>
      </c>
      <c r="F15" s="4">
        <v>1160</v>
      </c>
      <c r="G15" s="14">
        <v>4.0999999999999996</v>
      </c>
      <c r="H15" s="11">
        <f t="shared" si="0"/>
        <v>4756</v>
      </c>
      <c r="I15" t="s">
        <v>115</v>
      </c>
      <c r="J15" t="s">
        <v>116</v>
      </c>
    </row>
    <row r="16" spans="1:10" x14ac:dyDescent="0.35">
      <c r="A16" s="13">
        <v>5</v>
      </c>
      <c r="B16" s="4" t="s">
        <v>16</v>
      </c>
      <c r="C16" s="4" t="s">
        <v>108</v>
      </c>
      <c r="D16" s="4">
        <v>1</v>
      </c>
      <c r="E16" s="4" t="s">
        <v>14</v>
      </c>
      <c r="F16" s="4">
        <v>1200</v>
      </c>
      <c r="G16" s="14">
        <v>4.0999999999999996</v>
      </c>
      <c r="H16" s="11">
        <f t="shared" si="0"/>
        <v>4920</v>
      </c>
      <c r="I16" t="s">
        <v>115</v>
      </c>
      <c r="J16" t="s">
        <v>116</v>
      </c>
    </row>
    <row r="17" spans="1:10" x14ac:dyDescent="0.35">
      <c r="A17" s="13">
        <v>5</v>
      </c>
      <c r="B17" s="4" t="s">
        <v>16</v>
      </c>
      <c r="C17" s="4" t="s">
        <v>107</v>
      </c>
      <c r="D17" s="4">
        <v>1</v>
      </c>
      <c r="E17" s="4" t="s">
        <v>14</v>
      </c>
      <c r="F17" s="4">
        <v>1070</v>
      </c>
      <c r="G17" s="14">
        <v>4.0999999999999996</v>
      </c>
      <c r="H17" s="11">
        <f t="shared" si="0"/>
        <v>4387</v>
      </c>
      <c r="I17" t="s">
        <v>115</v>
      </c>
      <c r="J17" t="s">
        <v>116</v>
      </c>
    </row>
    <row r="18" spans="1:10" x14ac:dyDescent="0.35">
      <c r="A18" s="13">
        <v>5</v>
      </c>
      <c r="B18" s="4" t="s">
        <v>16</v>
      </c>
      <c r="C18" s="4" t="s">
        <v>96</v>
      </c>
      <c r="D18" s="4">
        <v>1</v>
      </c>
      <c r="E18" s="4" t="s">
        <v>14</v>
      </c>
      <c r="F18" s="4">
        <v>220</v>
      </c>
      <c r="G18" s="14">
        <v>4</v>
      </c>
      <c r="H18" s="11">
        <f t="shared" si="0"/>
        <v>880</v>
      </c>
      <c r="I18" t="s">
        <v>115</v>
      </c>
      <c r="J18" t="s">
        <v>116</v>
      </c>
    </row>
    <row r="19" spans="1:10" x14ac:dyDescent="0.35">
      <c r="A19" s="13">
        <v>5</v>
      </c>
      <c r="B19" s="4" t="s">
        <v>16</v>
      </c>
      <c r="C19" s="4" t="s">
        <v>97</v>
      </c>
      <c r="D19" s="4">
        <v>1</v>
      </c>
      <c r="E19" s="4" t="s">
        <v>14</v>
      </c>
      <c r="F19" s="4">
        <v>220</v>
      </c>
      <c r="G19" s="14">
        <v>4</v>
      </c>
      <c r="H19" s="11">
        <f t="shared" si="0"/>
        <v>880</v>
      </c>
      <c r="I19" t="s">
        <v>115</v>
      </c>
      <c r="J19" t="s">
        <v>116</v>
      </c>
    </row>
    <row r="20" spans="1:10" x14ac:dyDescent="0.35">
      <c r="A20" s="13">
        <v>5</v>
      </c>
      <c r="B20" s="4" t="s">
        <v>16</v>
      </c>
      <c r="C20" s="4" t="s">
        <v>98</v>
      </c>
      <c r="D20" s="4">
        <v>1</v>
      </c>
      <c r="E20" s="4" t="s">
        <v>14</v>
      </c>
      <c r="F20" s="4">
        <v>861</v>
      </c>
      <c r="G20" s="14">
        <v>4.0999999999999996</v>
      </c>
      <c r="H20" s="11">
        <f t="shared" si="0"/>
        <v>3530.1</v>
      </c>
      <c r="I20" t="s">
        <v>115</v>
      </c>
      <c r="J20" t="s">
        <v>116</v>
      </c>
    </row>
    <row r="21" spans="1:10" x14ac:dyDescent="0.35">
      <c r="A21" s="13">
        <v>5</v>
      </c>
      <c r="B21" s="4" t="s">
        <v>16</v>
      </c>
      <c r="C21" s="4" t="s">
        <v>99</v>
      </c>
      <c r="D21" s="4">
        <v>1</v>
      </c>
      <c r="E21" s="4" t="s">
        <v>14</v>
      </c>
      <c r="F21" s="4">
        <v>861</v>
      </c>
      <c r="G21" s="14">
        <v>4.0999999999999996</v>
      </c>
      <c r="H21" s="11">
        <f t="shared" si="0"/>
        <v>3530.1</v>
      </c>
      <c r="I21" t="s">
        <v>115</v>
      </c>
      <c r="J21" t="s">
        <v>116</v>
      </c>
    </row>
    <row r="22" spans="1:10" x14ac:dyDescent="0.35">
      <c r="A22" s="13">
        <v>5</v>
      </c>
      <c r="B22" s="4" t="s">
        <v>109</v>
      </c>
      <c r="C22" s="4" t="s">
        <v>110</v>
      </c>
      <c r="D22" s="4">
        <v>1</v>
      </c>
      <c r="E22" s="4" t="s">
        <v>14</v>
      </c>
      <c r="F22" s="4"/>
      <c r="G22" s="14" t="s">
        <v>111</v>
      </c>
      <c r="H22" s="11">
        <v>200</v>
      </c>
      <c r="I22" t="s">
        <v>115</v>
      </c>
      <c r="J22" t="s">
        <v>116</v>
      </c>
    </row>
    <row r="23" spans="1:10" x14ac:dyDescent="0.35">
      <c r="A23" s="13">
        <v>5</v>
      </c>
      <c r="B23" s="4" t="s">
        <v>11</v>
      </c>
      <c r="C23" s="4" t="s">
        <v>100</v>
      </c>
      <c r="D23" s="4">
        <v>1</v>
      </c>
      <c r="E23" s="4" t="s">
        <v>14</v>
      </c>
      <c r="F23" s="6">
        <v>469</v>
      </c>
      <c r="G23" s="17">
        <v>4.2</v>
      </c>
      <c r="H23" s="11">
        <f t="shared" si="0"/>
        <v>1969.8000000000002</v>
      </c>
      <c r="I23" t="s">
        <v>115</v>
      </c>
      <c r="J23" t="s">
        <v>116</v>
      </c>
    </row>
    <row r="24" spans="1:10" x14ac:dyDescent="0.35">
      <c r="A24" s="13">
        <v>5</v>
      </c>
      <c r="B24" s="4" t="s">
        <v>11</v>
      </c>
      <c r="C24" s="4" t="s">
        <v>101</v>
      </c>
      <c r="D24" s="4">
        <v>0</v>
      </c>
      <c r="E24" s="4" t="s">
        <v>14</v>
      </c>
      <c r="F24" s="6">
        <v>583</v>
      </c>
      <c r="G24" s="17">
        <v>4.2</v>
      </c>
      <c r="H24" s="11">
        <f t="shared" si="0"/>
        <v>2448.6</v>
      </c>
      <c r="I24" t="s">
        <v>115</v>
      </c>
      <c r="J24" t="s">
        <v>116</v>
      </c>
    </row>
    <row r="25" spans="1:10" x14ac:dyDescent="0.35">
      <c r="A25" s="13">
        <v>2</v>
      </c>
      <c r="B25" s="4" t="s">
        <v>17</v>
      </c>
      <c r="C25" s="4" t="s">
        <v>53</v>
      </c>
      <c r="D25" s="4">
        <v>1</v>
      </c>
      <c r="E25" s="4" t="s">
        <v>12</v>
      </c>
      <c r="F25" s="6">
        <v>669</v>
      </c>
      <c r="G25" s="10">
        <v>5.2</v>
      </c>
      <c r="H25" s="11">
        <f t="shared" si="0"/>
        <v>3478.8</v>
      </c>
      <c r="I25" t="s">
        <v>119</v>
      </c>
      <c r="J25" t="s">
        <v>120</v>
      </c>
    </row>
    <row r="26" spans="1:10" x14ac:dyDescent="0.35">
      <c r="A26" s="13">
        <v>2</v>
      </c>
      <c r="B26" s="4" t="s">
        <v>17</v>
      </c>
      <c r="C26" s="4" t="s">
        <v>55</v>
      </c>
      <c r="D26" s="4">
        <v>1</v>
      </c>
      <c r="E26" s="4" t="s">
        <v>12</v>
      </c>
      <c r="F26" s="6">
        <v>669</v>
      </c>
      <c r="G26" s="10">
        <v>5.2</v>
      </c>
      <c r="H26" s="11">
        <f t="shared" si="0"/>
        <v>3478.8</v>
      </c>
      <c r="I26" t="s">
        <v>119</v>
      </c>
      <c r="J26" t="s">
        <v>120</v>
      </c>
    </row>
    <row r="28" spans="1:10" x14ac:dyDescent="0.35">
      <c r="G28" s="18"/>
      <c r="H28" s="12"/>
    </row>
    <row r="32" spans="1:10" x14ac:dyDescent="0.35">
      <c r="I32" s="12"/>
    </row>
  </sheetData>
  <mergeCells count="1">
    <mergeCell ref="G1:I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f54931-46fd-40fa-bd4b-622a920dd3e9" xsi:nil="true"/>
    <lcf76f155ced4ddcb4097134ff3c332f xmlns="27b2592f-f106-4269-9e96-07694670e6b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4EB07333906440A00D71171937B287" ma:contentTypeVersion="17" ma:contentTypeDescription="Crie um novo documento." ma:contentTypeScope="" ma:versionID="f1223465121c54ea6249e0b37e94324e">
  <xsd:schema xmlns:xsd="http://www.w3.org/2001/XMLSchema" xmlns:xs="http://www.w3.org/2001/XMLSchema" xmlns:p="http://schemas.microsoft.com/office/2006/metadata/properties" xmlns:ns2="6af54931-46fd-40fa-bd4b-622a920dd3e9" xmlns:ns3="27b2592f-f106-4269-9e96-07694670e6bd" targetNamespace="http://schemas.microsoft.com/office/2006/metadata/properties" ma:root="true" ma:fieldsID="175031847733861222cd33a8e7acfd15" ns2:_="" ns3:_="">
    <xsd:import namespace="6af54931-46fd-40fa-bd4b-622a920dd3e9"/>
    <xsd:import namespace="27b2592f-f106-4269-9e96-07694670e6b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54931-46fd-40fa-bd4b-622a920dd3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121f412-b5ae-4259-9a1a-62839b2614ba}" ma:internalName="TaxCatchAll" ma:showField="CatchAllData" ma:web="6af54931-46fd-40fa-bd4b-622a920dd3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b2592f-f106-4269-9e96-07694670e6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adfe3e7b-21b7-4b5f-9c5b-6d03d389b2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CC4E17-F09F-4D38-9456-402B1811581E}">
  <ds:schemaRefs>
    <ds:schemaRef ds:uri="http://schemas.microsoft.com/office/2006/metadata/properties"/>
    <ds:schemaRef ds:uri="http://schemas.microsoft.com/office/infopath/2007/PartnerControls"/>
    <ds:schemaRef ds:uri="6af54931-46fd-40fa-bd4b-622a920dd3e9"/>
    <ds:schemaRef ds:uri="27b2592f-f106-4269-9e96-07694670e6bd"/>
  </ds:schemaRefs>
</ds:datastoreItem>
</file>

<file path=customXml/itemProps2.xml><?xml version="1.0" encoding="utf-8"?>
<ds:datastoreItem xmlns:ds="http://schemas.openxmlformats.org/officeDocument/2006/customXml" ds:itemID="{591B3DA6-F2A9-4A51-A0EB-164674FFBE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54931-46fd-40fa-bd4b-622a920dd3e9"/>
    <ds:schemaRef ds:uri="27b2592f-f106-4269-9e96-07694670e6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3547AC-200B-4AFB-A757-FB192E3ED3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Emiko</vt:lpstr>
      <vt:lpstr>Transvel</vt:lpstr>
      <vt:lpstr>JR Abraão</vt:lpstr>
      <vt:lpstr>Dalla Corte</vt:lpstr>
      <vt:lpstr>ABC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Schemuda</dc:creator>
  <cp:keywords/>
  <dc:description/>
  <cp:lastModifiedBy>Joel Schemuda</cp:lastModifiedBy>
  <cp:revision/>
  <cp:lastPrinted>2026-07-28T18:06:01Z</cp:lastPrinted>
  <dcterms:created xsi:type="dcterms:W3CDTF">2026-01-24T14:31:48Z</dcterms:created>
  <dcterms:modified xsi:type="dcterms:W3CDTF">2026-10-26T12:38:37Z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0x010100F94EB07333906440A00D71171937B287</vt:lpwstr>
  </property>
  <property fmtid="{D5CDD505-2E9C-101B-9397-08002B2CF9AE}" pid="3" name="MediaServiceImageTags">
    <vt:lpwstr/>
  </property>
</Properties>
</file>